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hkang\Documents\cra_flask\dataset\Group\"/>
    </mc:Choice>
  </mc:AlternateContent>
  <xr:revisionPtr revIDLastSave="0" documentId="13_ncr:1_{67B3D7DC-92B3-46F0-AD96-0BB59F6E200F}" xr6:coauthVersionLast="45" xr6:coauthVersionMax="45" xr10:uidLastSave="{00000000-0000-0000-0000-000000000000}"/>
  <bookViews>
    <workbookView xWindow="4200" yWindow="1365" windowWidth="12150" windowHeight="15495" xr2:uid="{5A10470B-7B47-44E2-A263-43364C141660}"/>
  </bookViews>
  <sheets>
    <sheet name="2Q20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" l="1"/>
  <c r="F7" i="1"/>
  <c r="M7" i="1"/>
  <c r="N7" i="1"/>
  <c r="Y7" i="1"/>
  <c r="AA7" i="1"/>
  <c r="AB7" i="1"/>
  <c r="L7" i="1" s="1"/>
  <c r="AE7" i="1"/>
  <c r="AI7" i="1"/>
  <c r="K7" i="1" s="1"/>
  <c r="AJ7" i="1"/>
  <c r="AM7" i="1"/>
  <c r="AN7" i="1"/>
  <c r="P7" i="1" s="1"/>
  <c r="AQ7" i="1"/>
  <c r="AR7" i="1"/>
  <c r="AU7" i="1"/>
  <c r="BE7" i="1"/>
  <c r="BJ7" i="1"/>
  <c r="BP7" i="1"/>
  <c r="BY7" i="1"/>
  <c r="CA7" i="1"/>
  <c r="CG7" i="1" s="1"/>
  <c r="CB7" i="1"/>
  <c r="CE7" i="1"/>
  <c r="BO7" i="1" s="1"/>
  <c r="CI7" i="1"/>
  <c r="CO7" i="1" s="1"/>
  <c r="CJ7" i="1"/>
  <c r="FE7" i="1" s="1"/>
  <c r="CM7" i="1"/>
  <c r="CQ7" i="1"/>
  <c r="CR7" i="1"/>
  <c r="FK7" i="1" s="1"/>
  <c r="CU7" i="1"/>
  <c r="FL7" i="1" s="1"/>
  <c r="DE7" i="1"/>
  <c r="DL7" i="1"/>
  <c r="DM7" i="1"/>
  <c r="DN7" i="1"/>
  <c r="DO7" i="1"/>
  <c r="EF7" i="1"/>
  <c r="EG7" i="1"/>
  <c r="EH7" i="1"/>
  <c r="EI7" i="1"/>
  <c r="ER7" i="1"/>
  <c r="ES7" i="1"/>
  <c r="ET7" i="1"/>
  <c r="EU7" i="1"/>
  <c r="EV7" i="1"/>
  <c r="EZ7" i="1"/>
  <c r="FA7" i="1"/>
  <c r="FD7" i="1"/>
  <c r="FF7" i="1"/>
  <c r="FG7" i="1"/>
  <c r="FJ7" i="1"/>
  <c r="FM7" i="1"/>
  <c r="FV7" i="1"/>
  <c r="GH7" i="1"/>
  <c r="GE11" i="1"/>
  <c r="GD11" i="1"/>
  <c r="GC11" i="1"/>
  <c r="FS11" i="1"/>
  <c r="FR11" i="1"/>
  <c r="FQ11" i="1"/>
  <c r="FM11" i="1"/>
  <c r="FG11" i="1"/>
  <c r="FA11" i="1"/>
  <c r="EU11" i="1"/>
  <c r="DC11" i="1"/>
  <c r="CZ11" i="1"/>
  <c r="CY11" i="1"/>
  <c r="CU11" i="1"/>
  <c r="CT11" i="1"/>
  <c r="CS11" i="1"/>
  <c r="CR11" i="1"/>
  <c r="CQ11" i="1"/>
  <c r="CM11" i="1"/>
  <c r="CJ11" i="1"/>
  <c r="CI11" i="1"/>
  <c r="CD11" i="1"/>
  <c r="CC11" i="1"/>
  <c r="BW11" i="1"/>
  <c r="BT11" i="1"/>
  <c r="CB11" i="1" s="1"/>
  <c r="BN11" i="1" s="1"/>
  <c r="BS11" i="1"/>
  <c r="CA11" i="1" s="1"/>
  <c r="BP11" i="1"/>
  <c r="BJ11" i="1"/>
  <c r="BC11" i="1"/>
  <c r="AZ11" i="1"/>
  <c r="AY11" i="1"/>
  <c r="AU11" i="1"/>
  <c r="AT11" i="1"/>
  <c r="AS11" i="1"/>
  <c r="AR11" i="1"/>
  <c r="AQ11" i="1"/>
  <c r="AM11" i="1"/>
  <c r="AL11" i="1"/>
  <c r="EH11" i="1" s="1"/>
  <c r="AK11" i="1"/>
  <c r="AJ11" i="1"/>
  <c r="AI11" i="1"/>
  <c r="AO11" i="1" s="1"/>
  <c r="DX11" i="1" s="1"/>
  <c r="AD11" i="1"/>
  <c r="AC11" i="1"/>
  <c r="W11" i="1"/>
  <c r="AE11" i="1" s="1"/>
  <c r="T11" i="1"/>
  <c r="S11" i="1"/>
  <c r="P11" i="1"/>
  <c r="H11" i="1"/>
  <c r="GD10" i="1"/>
  <c r="GC10" i="1"/>
  <c r="GB10" i="1"/>
  <c r="FR10" i="1"/>
  <c r="FQ10" i="1"/>
  <c r="FP10" i="1"/>
  <c r="FM10" i="1"/>
  <c r="FG10" i="1"/>
  <c r="FA10" i="1"/>
  <c r="EU10" i="1"/>
  <c r="ET10" i="1"/>
  <c r="ES10" i="1"/>
  <c r="ER10" i="1"/>
  <c r="EF10" i="1"/>
  <c r="DE10" i="1"/>
  <c r="CQ10" i="1"/>
  <c r="CM10" i="1"/>
  <c r="CJ10" i="1"/>
  <c r="CI10" i="1"/>
  <c r="CE10" i="1"/>
  <c r="CB10" i="1"/>
  <c r="CA10" i="1"/>
  <c r="BY10" i="1"/>
  <c r="BP10" i="1"/>
  <c r="BJ10" i="1"/>
  <c r="BE10" i="1"/>
  <c r="AU10" i="1"/>
  <c r="FL10" i="1" s="1"/>
  <c r="AR10" i="1"/>
  <c r="AQ10" i="1"/>
  <c r="AM10" i="1"/>
  <c r="AJ10" i="1"/>
  <c r="EH10" i="1" s="1"/>
  <c r="AI10" i="1"/>
  <c r="FD10" i="1" s="1"/>
  <c r="AE10" i="1"/>
  <c r="AB10" i="1"/>
  <c r="AA10" i="1"/>
  <c r="Y10" i="1"/>
  <c r="P10" i="1"/>
  <c r="N10" i="1"/>
  <c r="M10" i="1"/>
  <c r="H10" i="1"/>
  <c r="F10" i="1"/>
  <c r="E10" i="1"/>
  <c r="GF9" i="1"/>
  <c r="FS9" i="1"/>
  <c r="FM9" i="1"/>
  <c r="FL9" i="1"/>
  <c r="FK9" i="1"/>
  <c r="FJ9" i="1"/>
  <c r="FG9" i="1"/>
  <c r="FA9" i="1"/>
  <c r="EU9" i="1"/>
  <c r="EI9" i="1"/>
  <c r="DE9" i="1"/>
  <c r="CW9" i="1"/>
  <c r="CM9" i="1"/>
  <c r="CK9" i="1"/>
  <c r="CJ9" i="1" s="1"/>
  <c r="CI9" i="1"/>
  <c r="CE9" i="1"/>
  <c r="CC9" i="1"/>
  <c r="CB9" i="1" s="1"/>
  <c r="CA9" i="1"/>
  <c r="BU9" i="1"/>
  <c r="BT9" i="1" s="1"/>
  <c r="BP9" i="1"/>
  <c r="BO9" i="1"/>
  <c r="BJ9" i="1"/>
  <c r="BE9" i="1"/>
  <c r="AW9" i="1"/>
  <c r="GK9" i="1" s="1"/>
  <c r="AM9" i="1"/>
  <c r="AK9" i="1"/>
  <c r="AJ9" i="1" s="1"/>
  <c r="EH9" i="1" s="1"/>
  <c r="AI9" i="1"/>
  <c r="AE9" i="1"/>
  <c r="AC9" i="1"/>
  <c r="AB9" i="1" s="1"/>
  <c r="EG9" i="1" s="1"/>
  <c r="AA9" i="1"/>
  <c r="W9" i="1"/>
  <c r="ET9" i="1" s="1"/>
  <c r="U9" i="1"/>
  <c r="S9" i="1"/>
  <c r="P9" i="1"/>
  <c r="N9" i="1"/>
  <c r="H9" i="1"/>
  <c r="F9" i="1"/>
  <c r="GF8" i="1"/>
  <c r="FS8" i="1"/>
  <c r="FR8" i="1"/>
  <c r="FQ8" i="1"/>
  <c r="FM8" i="1"/>
  <c r="FK8" i="1"/>
  <c r="FG8" i="1"/>
  <c r="FA8" i="1"/>
  <c r="EI8" i="1"/>
  <c r="DE8" i="1"/>
  <c r="CU8" i="1"/>
  <c r="FL8" i="1" s="1"/>
  <c r="CQ8" i="1"/>
  <c r="FJ8" i="1" s="1"/>
  <c r="CO8" i="1"/>
  <c r="CK8" i="1"/>
  <c r="CE8" i="1"/>
  <c r="CD8" i="1"/>
  <c r="CB8" i="1"/>
  <c r="BH8" i="1" s="1"/>
  <c r="CA8" i="1"/>
  <c r="BY8" i="1"/>
  <c r="BU8" i="1"/>
  <c r="BP8" i="1"/>
  <c r="BJ8" i="1"/>
  <c r="BE8" i="1"/>
  <c r="AW8" i="1"/>
  <c r="EC8" i="1" s="1"/>
  <c r="AM8" i="1"/>
  <c r="AK8" i="1"/>
  <c r="AJ8" i="1"/>
  <c r="AI8" i="1"/>
  <c r="FD8" i="1" s="1"/>
  <c r="AE8" i="1"/>
  <c r="AC8" i="1"/>
  <c r="AB8" i="1"/>
  <c r="EG8" i="1" s="1"/>
  <c r="AA8" i="1"/>
  <c r="X8" i="1"/>
  <c r="P8" i="1" s="1"/>
  <c r="W8" i="1"/>
  <c r="ET8" i="1" s="1"/>
  <c r="U8" i="1"/>
  <c r="T8" i="1"/>
  <c r="ES8" i="1" s="1"/>
  <c r="S8" i="1"/>
  <c r="ER8" i="1" s="1"/>
  <c r="N8" i="1"/>
  <c r="L8" i="1"/>
  <c r="F8" i="1"/>
  <c r="FH7" i="1" l="1"/>
  <c r="CW7" i="1"/>
  <c r="AW7" i="1"/>
  <c r="EB7" i="1" s="1"/>
  <c r="C7" i="1"/>
  <c r="C10" i="1"/>
  <c r="K10" i="1"/>
  <c r="AO7" i="1"/>
  <c r="DV7" i="1" s="1"/>
  <c r="CW11" i="1"/>
  <c r="BM7" i="1"/>
  <c r="EL7" i="1" s="1"/>
  <c r="BI7" i="1"/>
  <c r="BN7" i="1"/>
  <c r="EM7" i="1" s="1"/>
  <c r="O7" i="1"/>
  <c r="EN7" i="1" s="1"/>
  <c r="BK7" i="1"/>
  <c r="FY7" i="1"/>
  <c r="GK7" i="1"/>
  <c r="EO7" i="1"/>
  <c r="EJ7" i="1"/>
  <c r="GJ7" i="1"/>
  <c r="BQ7" i="1"/>
  <c r="BH7" i="1"/>
  <c r="BG7" i="1"/>
  <c r="H7" i="1"/>
  <c r="DY7" i="1"/>
  <c r="G7" i="1"/>
  <c r="DX7" i="1"/>
  <c r="DW7" i="1"/>
  <c r="AG7" i="1"/>
  <c r="DQ7" i="1" s="1"/>
  <c r="FX7" i="1"/>
  <c r="EY7" i="1"/>
  <c r="D7" i="1"/>
  <c r="EX7" i="1"/>
  <c r="N11" i="1"/>
  <c r="BE11" i="1"/>
  <c r="BN8" i="1"/>
  <c r="EM8" i="1" s="1"/>
  <c r="BG10" i="1"/>
  <c r="GF10" i="1"/>
  <c r="EX9" i="1"/>
  <c r="ET11" i="1"/>
  <c r="C9" i="1"/>
  <c r="AW11" i="1"/>
  <c r="ED11" i="1" s="1"/>
  <c r="C8" i="1"/>
  <c r="FF10" i="1"/>
  <c r="EX10" i="1"/>
  <c r="FE11" i="1"/>
  <c r="G8" i="1"/>
  <c r="EA9" i="1"/>
  <c r="FJ10" i="1"/>
  <c r="CE11" i="1"/>
  <c r="EZ11" i="1" s="1"/>
  <c r="E9" i="1"/>
  <c r="ED9" i="1"/>
  <c r="BG11" i="1"/>
  <c r="BI8" i="1"/>
  <c r="FT11" i="1"/>
  <c r="EY8" i="1"/>
  <c r="FV10" i="1"/>
  <c r="BI9" i="1"/>
  <c r="FN9" i="1"/>
  <c r="CO10" i="1"/>
  <c r="EJ8" i="1"/>
  <c r="O9" i="1"/>
  <c r="EN9" i="1" s="1"/>
  <c r="EY9" i="1"/>
  <c r="CW10" i="1"/>
  <c r="FD11" i="1"/>
  <c r="ER11" i="1"/>
  <c r="FX11" i="1"/>
  <c r="E8" i="1"/>
  <c r="AG9" i="1"/>
  <c r="DS9" i="1" s="1"/>
  <c r="EZ9" i="1"/>
  <c r="EY10" i="1"/>
  <c r="CC8" i="1"/>
  <c r="EA8" i="1"/>
  <c r="G9" i="1"/>
  <c r="CG9" i="1"/>
  <c r="EB9" i="1"/>
  <c r="FF9" i="1"/>
  <c r="O10" i="1"/>
  <c r="BI10" i="1"/>
  <c r="FF11" i="1"/>
  <c r="AG8" i="1"/>
  <c r="DS8" i="1" s="1"/>
  <c r="EF8" i="1"/>
  <c r="BM9" i="1"/>
  <c r="CO9" i="1"/>
  <c r="EC9" i="1"/>
  <c r="AA11" i="1"/>
  <c r="K11" i="1" s="1"/>
  <c r="CO11" i="1"/>
  <c r="FH11" i="1" s="1"/>
  <c r="EV10" i="1"/>
  <c r="BM10" i="1"/>
  <c r="EL10" i="1" s="1"/>
  <c r="F11" i="1"/>
  <c r="DV11" i="1"/>
  <c r="EO11" i="1"/>
  <c r="EO8" i="1"/>
  <c r="BN10" i="1"/>
  <c r="DW11" i="1"/>
  <c r="E11" i="1"/>
  <c r="GJ11" i="1"/>
  <c r="K8" i="1"/>
  <c r="Y8" i="1"/>
  <c r="DO8" i="1" s="1"/>
  <c r="BG8" i="1"/>
  <c r="BM8" i="1"/>
  <c r="EX8" i="1"/>
  <c r="CG8" i="1"/>
  <c r="FY8" i="1"/>
  <c r="BN9" i="1"/>
  <c r="BY9" i="1"/>
  <c r="CW8" i="1"/>
  <c r="FN8" i="1" s="1"/>
  <c r="FF8" i="1"/>
  <c r="ER9" i="1"/>
  <c r="M8" i="1"/>
  <c r="BH9" i="1"/>
  <c r="AO8" i="1"/>
  <c r="DX8" i="1" s="1"/>
  <c r="FE8" i="1"/>
  <c r="H8" i="1"/>
  <c r="EU8" i="1"/>
  <c r="BO8" i="1"/>
  <c r="EZ8" i="1"/>
  <c r="EO9" i="1"/>
  <c r="FT9" i="1"/>
  <c r="FY9" i="1"/>
  <c r="K9" i="1"/>
  <c r="AO9" i="1"/>
  <c r="FD9" i="1"/>
  <c r="O8" i="1"/>
  <c r="GK8" i="1"/>
  <c r="ED8" i="1"/>
  <c r="EB8" i="1"/>
  <c r="EH8" i="1"/>
  <c r="FT8" i="1"/>
  <c r="M9" i="1"/>
  <c r="T9" i="1"/>
  <c r="ES9" i="1" s="1"/>
  <c r="DW9" i="1"/>
  <c r="FE9" i="1"/>
  <c r="D8" i="1"/>
  <c r="BG9" i="1"/>
  <c r="G10" i="1"/>
  <c r="BH10" i="1"/>
  <c r="M11" i="1"/>
  <c r="DY11" i="1"/>
  <c r="BY11" i="1"/>
  <c r="BM11" i="1"/>
  <c r="FL11" i="1"/>
  <c r="DM10" i="1"/>
  <c r="DO10" i="1"/>
  <c r="AO10" i="1"/>
  <c r="FX10" i="1" s="1"/>
  <c r="EO10" i="1"/>
  <c r="ES11" i="1"/>
  <c r="DE11" i="1"/>
  <c r="GF11" i="1"/>
  <c r="CG10" i="1"/>
  <c r="FS10" i="1"/>
  <c r="FY11" i="1"/>
  <c r="EG10" i="1"/>
  <c r="EI10" i="1"/>
  <c r="EZ10" i="1"/>
  <c r="BO10" i="1"/>
  <c r="BI11" i="1"/>
  <c r="CG11" i="1"/>
  <c r="L10" i="1"/>
  <c r="EJ10" i="1" s="1"/>
  <c r="Y11" i="1"/>
  <c r="EI11" i="1"/>
  <c r="FN11" i="1"/>
  <c r="D10" i="1"/>
  <c r="AG10" i="1"/>
  <c r="GI10" i="1" s="1"/>
  <c r="AW10" i="1"/>
  <c r="FE10" i="1"/>
  <c r="DL10" i="1"/>
  <c r="GH10" i="1"/>
  <c r="AB11" i="1"/>
  <c r="EY11" i="1" s="1"/>
  <c r="EF11" i="1"/>
  <c r="FJ11" i="1"/>
  <c r="DN10" i="1"/>
  <c r="FK10" i="1"/>
  <c r="G11" i="1"/>
  <c r="O11" i="1"/>
  <c r="BO11" i="1"/>
  <c r="FK11" i="1"/>
  <c r="BH11" i="1"/>
  <c r="EC7" i="1" l="1"/>
  <c r="ED7" i="1"/>
  <c r="DM8" i="1"/>
  <c r="C11" i="1"/>
  <c r="EA7" i="1"/>
  <c r="FN7" i="1"/>
  <c r="FB7" i="1"/>
  <c r="Q7" i="1"/>
  <c r="EP7" i="1" s="1"/>
  <c r="DT7" i="1"/>
  <c r="FW7" i="1"/>
  <c r="DS7" i="1"/>
  <c r="GN7" i="1"/>
  <c r="GI7" i="1"/>
  <c r="I7" i="1"/>
  <c r="DR7" i="1"/>
  <c r="EN10" i="1"/>
  <c r="EB11" i="1"/>
  <c r="GK11" i="1"/>
  <c r="FH9" i="1"/>
  <c r="EX11" i="1"/>
  <c r="DY9" i="1"/>
  <c r="EC11" i="1"/>
  <c r="EA11" i="1"/>
  <c r="BQ8" i="1"/>
  <c r="DQ8" i="1"/>
  <c r="EL8" i="1"/>
  <c r="D11" i="1"/>
  <c r="DR8" i="1"/>
  <c r="DW10" i="1"/>
  <c r="DR9" i="1"/>
  <c r="FW8" i="1"/>
  <c r="Y9" i="1"/>
  <c r="DL9" i="1" s="1"/>
  <c r="DT9" i="1"/>
  <c r="GI9" i="1"/>
  <c r="DT8" i="1"/>
  <c r="Q10" i="1"/>
  <c r="FZ10" i="1" s="1"/>
  <c r="FW9" i="1"/>
  <c r="GI8" i="1"/>
  <c r="EL11" i="1"/>
  <c r="DQ9" i="1"/>
  <c r="FB9" i="1"/>
  <c r="DR10" i="1"/>
  <c r="DY8" i="1"/>
  <c r="AG11" i="1"/>
  <c r="FB11" i="1" s="1"/>
  <c r="DW8" i="1"/>
  <c r="BK9" i="1"/>
  <c r="BQ9" i="1"/>
  <c r="Q8" i="1"/>
  <c r="EP8" i="1" s="1"/>
  <c r="DN8" i="1"/>
  <c r="EV8" i="1"/>
  <c r="GH8" i="1"/>
  <c r="DL8" i="1"/>
  <c r="I8" i="1"/>
  <c r="FV8" i="1"/>
  <c r="FW10" i="1"/>
  <c r="BQ11" i="1"/>
  <c r="EV11" i="1"/>
  <c r="BK11" i="1"/>
  <c r="EF9" i="1"/>
  <c r="D9" i="1"/>
  <c r="L9" i="1"/>
  <c r="EM9" i="1" s="1"/>
  <c r="EA10" i="1"/>
  <c r="ED10" i="1"/>
  <c r="EC10" i="1"/>
  <c r="GK10" i="1"/>
  <c r="GH11" i="1"/>
  <c r="DO11" i="1"/>
  <c r="DN11" i="1"/>
  <c r="DL11" i="1"/>
  <c r="FV11" i="1"/>
  <c r="DN9" i="1"/>
  <c r="DQ10" i="1"/>
  <c r="DS10" i="1"/>
  <c r="DT10" i="1"/>
  <c r="DH10" i="1"/>
  <c r="EM10" i="1"/>
  <c r="FN10" i="1"/>
  <c r="EN8" i="1"/>
  <c r="DM11" i="1"/>
  <c r="FY10" i="1"/>
  <c r="DX10" i="1"/>
  <c r="DV10" i="1"/>
  <c r="FH10" i="1"/>
  <c r="GJ9" i="1"/>
  <c r="FX9" i="1"/>
  <c r="DX9" i="1"/>
  <c r="FB8" i="1"/>
  <c r="BK8" i="1"/>
  <c r="GJ10" i="1"/>
  <c r="EN11" i="1"/>
  <c r="EG11" i="1"/>
  <c r="L11" i="1"/>
  <c r="FB10" i="1"/>
  <c r="BQ10" i="1"/>
  <c r="EP10" i="1" s="1"/>
  <c r="BK10" i="1"/>
  <c r="DY10" i="1"/>
  <c r="DV9" i="1"/>
  <c r="EB10" i="1"/>
  <c r="I10" i="1"/>
  <c r="EL9" i="1"/>
  <c r="GJ8" i="1"/>
  <c r="FH8" i="1"/>
  <c r="FX8" i="1"/>
  <c r="DV8" i="1"/>
  <c r="DG8" i="1" l="1"/>
  <c r="DI8" i="1"/>
  <c r="GL7" i="1"/>
  <c r="FZ7" i="1"/>
  <c r="DH7" i="1"/>
  <c r="DJ7" i="1"/>
  <c r="DG7" i="1"/>
  <c r="DI7" i="1"/>
  <c r="DO9" i="1"/>
  <c r="EV9" i="1"/>
  <c r="FV9" i="1"/>
  <c r="Q9" i="1"/>
  <c r="DG9" i="1" s="1"/>
  <c r="DM9" i="1"/>
  <c r="GH9" i="1"/>
  <c r="I9" i="1"/>
  <c r="I11" i="1"/>
  <c r="DJ10" i="1"/>
  <c r="DI10" i="1"/>
  <c r="DG10" i="1"/>
  <c r="FZ8" i="1"/>
  <c r="GL10" i="1"/>
  <c r="BK1" i="1"/>
  <c r="DR11" i="1"/>
  <c r="Q11" i="1"/>
  <c r="EP11" i="1" s="1"/>
  <c r="GL8" i="1"/>
  <c r="DH8" i="1"/>
  <c r="DJ8" i="1"/>
  <c r="EJ9" i="1"/>
  <c r="DI9" i="1"/>
  <c r="DJ9" i="1"/>
  <c r="DT11" i="1"/>
  <c r="GI11" i="1"/>
  <c r="DQ11" i="1"/>
  <c r="FW11" i="1"/>
  <c r="DS11" i="1"/>
  <c r="EJ11" i="1"/>
  <c r="EM11" i="1"/>
  <c r="FZ9" i="1"/>
  <c r="GL9" i="1" l="1"/>
  <c r="DH9" i="1"/>
  <c r="EP9" i="1"/>
  <c r="DJ11" i="1"/>
  <c r="DH11" i="1"/>
  <c r="GL11" i="1"/>
  <c r="DI11" i="1"/>
  <c r="DG11" i="1"/>
  <c r="FZ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scaverzan</author>
    <author>rtedder</author>
    <author>jharris</author>
    <author>suzannedouglas</author>
  </authors>
  <commentList>
    <comment ref="C7" authorId="0" shapeId="0" xr:uid="{6B1AAD79-DD45-42F5-A803-7B7007736829}">
      <text>
        <r>
          <rPr>
            <b/>
            <sz val="9"/>
            <color indexed="81"/>
            <rFont val="Tahoma"/>
            <family val="2"/>
          </rPr>
          <t>scaverzan:</t>
        </r>
        <r>
          <rPr>
            <sz val="9"/>
            <color indexed="81"/>
            <rFont val="Tahoma"/>
            <family val="2"/>
          </rPr>
          <t xml:space="preserve">
Sonia added 'Other L&amp;A' in the first part of the formula</t>
        </r>
      </text>
    </comment>
    <comment ref="AW7" authorId="0" shapeId="0" xr:uid="{A0BD4B28-DF07-484D-83EF-C8834CE3BF08}">
      <text>
        <r>
          <rPr>
            <b/>
            <sz val="9"/>
            <color indexed="81"/>
            <rFont val="Tahoma"/>
            <family val="2"/>
          </rPr>
          <t>scaverzan:</t>
        </r>
        <r>
          <rPr>
            <sz val="9"/>
            <color indexed="81"/>
            <rFont val="Tahoma"/>
            <family val="2"/>
          </rPr>
          <t xml:space="preserve">
Includes loans to non-bank FI</t>
        </r>
      </text>
    </comment>
    <comment ref="BE7" authorId="0" shapeId="0" xr:uid="{63FD4671-B9E9-479D-8F5C-BB7752083058}">
      <text>
        <r>
          <rPr>
            <b/>
            <sz val="9"/>
            <color indexed="81"/>
            <rFont val="Tahoma"/>
            <family val="2"/>
          </rPr>
          <t>scaverzan:</t>
        </r>
        <r>
          <rPr>
            <sz val="9"/>
            <color indexed="81"/>
            <rFont val="Tahoma"/>
            <family val="2"/>
          </rPr>
          <t xml:space="preserve">
Includes: L&amp;A to banks and other financial assets</t>
        </r>
      </text>
    </comment>
    <comment ref="CG7" authorId="1" shapeId="0" xr:uid="{F56C964C-F4EE-4BCA-839C-752029E83D4D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Assumes off BS personal ECL all relates to Cards</t>
        </r>
      </text>
    </comment>
    <comment ref="A8" authorId="1" shapeId="0" xr:uid="{B976D059-D536-4B03-BF10-E3F362243D8C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Excludes £19m ECL related to other assets; although staging split of this is given on p238 (£2m S1, £17m S3); the staging split of £14m of this can not be identified on p235</t>
        </r>
      </text>
    </comment>
    <comment ref="A10" authorId="2" shapeId="0" xr:uid="{0963C5EF-7632-4A3C-AA7F-416D72828DC6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The NatWest Group retail bank is ring-fenced, and NatWest Markets operates as a 
non ring-fenced bank</t>
        </r>
      </text>
    </comment>
    <comment ref="S10" authorId="2" shapeId="0" xr:uid="{E67525DA-2A2E-477C-9676-B87B36B053A3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</t>
        </r>
      </text>
    </comment>
    <comment ref="T10" authorId="2" shapeId="0" xr:uid="{3FA9D8AA-5061-491F-9342-A66ABC73C6C2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</t>
        </r>
      </text>
    </comment>
    <comment ref="W10" authorId="2" shapeId="0" xr:uid="{3EB7D5D5-67F5-4BFF-9C3C-79CAD88AC222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</t>
        </r>
      </text>
    </comment>
    <comment ref="Y10" authorId="2" shapeId="0" xr:uid="{D69CCA5D-B328-4D9B-9BFA-A6A3B5380DDD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Agrees to RT's resilience numbers</t>
        </r>
      </text>
    </comment>
    <comment ref="AA10" authorId="2" shapeId="0" xr:uid="{5B65A895-FC66-4F30-8E0F-967651F956BC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</t>
        </r>
      </text>
    </comment>
    <comment ref="AB10" authorId="2" shapeId="0" xr:uid="{577488A5-B9D4-464F-90B8-BF8D2251E782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</t>
        </r>
      </text>
    </comment>
    <comment ref="AE10" authorId="2" shapeId="0" xr:uid="{74D2559D-B8A2-43FA-AEE0-0244E2BBB4AE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</t>
        </r>
      </text>
    </comment>
    <comment ref="AG10" authorId="2" shapeId="0" xr:uid="{80EF9E43-4123-4B0B-89E3-AC147803E3DA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</t>
        </r>
      </text>
    </comment>
    <comment ref="AI10" authorId="2" shapeId="0" xr:uid="{CBEA1692-ACFA-40B9-A378-91FA2E7F0ACF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</t>
        </r>
      </text>
    </comment>
    <comment ref="AJ10" authorId="2" shapeId="0" xr:uid="{9ED63AA6-D734-420F-BB41-274038E02B16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</t>
        </r>
      </text>
    </comment>
    <comment ref="AM10" authorId="2" shapeId="0" xr:uid="{93B293E2-7655-4E8E-8654-49547C52912E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</t>
        </r>
      </text>
    </comment>
    <comment ref="AO10" authorId="2" shapeId="0" xr:uid="{F901D45A-76BC-4CF0-B439-B5DE36AEE19E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</t>
        </r>
      </text>
    </comment>
    <comment ref="AQ10" authorId="2" shapeId="0" xr:uid="{872CF983-B604-4684-B3DE-E422A448370E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2H10, </t>
        </r>
      </text>
    </comment>
    <comment ref="AR10" authorId="2" shapeId="0" xr:uid="{CA1317FC-FD1B-4515-A37E-76928471332F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</t>
        </r>
      </text>
    </comment>
    <comment ref="AW10" authorId="2" shapeId="0" xr:uid="{7B82580A-6B1D-4A4C-947C-186B97A2D49B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pg. 46, same approach taken as 2H10</t>
        </r>
      </text>
    </comment>
    <comment ref="BY10" authorId="2" shapeId="0" xr:uid="{8AB1EF6D-F6BF-4060-AD7D-31721B52BE8C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All confirmed as correct pg. 46</t>
        </r>
      </text>
    </comment>
    <comment ref="CG10" authorId="2" shapeId="0" xr:uid="{EDFFDD4B-A20E-491E-8957-680490DAD64B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Alll confirmed as correct, page 46</t>
        </r>
      </text>
    </comment>
    <comment ref="CI10" authorId="2" shapeId="0" xr:uid="{52C8489E-AC1E-4BAC-95CF-5E98A813E6C7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Confirmed as correct, pg 46, same approach taken as 2H19</t>
        </r>
      </text>
    </comment>
    <comment ref="CJ10" authorId="2" shapeId="0" xr:uid="{7E09AC03-1936-4FBA-A53C-272E7E148D59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O10" authorId="2" shapeId="0" xr:uid="{B5888D11-FEA7-49E8-9EBF-8D83B9547C4E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All confirmed as correct, pg 46, same approach taken as 2H19</t>
        </r>
      </text>
    </comment>
    <comment ref="CW10" authorId="2" shapeId="0" xr:uid="{2D768B0C-D286-4A7C-8632-221857A34DD7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All confirmed as correct per page 46, same approach as 2H19</t>
        </r>
      </text>
    </comment>
    <comment ref="FP10" authorId="2" shapeId="0" xr:uid="{F7E8014D-F2EA-4673-BEF0-31EDB490A12E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UK mortgages (pg 55) £129m + Ulster mortgages £107m (pg.58)</t>
        </r>
      </text>
    </comment>
    <comment ref="FQ10" authorId="2" shapeId="0" xr:uid="{C8D04ED4-26A3-489B-8F3D-2CDEEDADD7B5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UK personal banking other (£306m)+ UK credit cards (£163m)</t>
        </r>
      </text>
    </comment>
    <comment ref="FR10" authorId="2" shapeId="0" xr:uid="{9319322F-1D4E-4F8D-A385-B5A4C19AEB3C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Commercial banking - commercial real estate (pg59) £424m+ Commercial banking-business banking £61m (pg 60)+Commercial banking - other (pg61) £1,305m +NatWest Markets £40m (Pg62)</t>
        </r>
      </text>
    </comment>
    <comment ref="S11" authorId="3" shapeId="0" xr:uid="{766906D7-602F-4104-9DB2-A0DE71A6B6FF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Mortgages are included in Retail Banking.  Obtained a split of Retail Banking on PDF p. 74 of 1H20 report</t>
        </r>
      </text>
    </comment>
    <comment ref="AA11" authorId="3" shapeId="0" xr:uid="{0AD4E69C-B71B-404E-9280-8B8469330FF5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= Retail Banking (PDF p.55) + Private Banking (p.55) - Mortgages (from PFD p.76)</t>
        </r>
      </text>
    </comment>
    <comment ref="AC11" authorId="3" shapeId="0" xr:uid="{C5EA324B-74DE-49C1-A764-53F5202136EF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This is for total retail + private banking and includes mortgages. Mortgages stage 2 split not available</t>
        </r>
      </text>
    </comment>
    <comment ref="AQ11" authorId="3" shapeId="0" xr:uid="{01908495-976D-464C-B038-95FB56C27102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L&amp;A to (PDF p.55)
1) Banks;
2) Corp/Instit Banking
3) Central &amp; Other</t>
        </r>
      </text>
    </comment>
    <comment ref="BS11" authorId="3" shapeId="0" xr:uid="{F439A004-6F33-4C6D-BFD7-0011A23E93FA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Mortgages are included in Retail Banking.  Obtained a split of Retail Banking on p. 76 of 1H20 report</t>
        </r>
      </text>
    </comment>
    <comment ref="CA11" authorId="3" shapeId="0" xr:uid="{A4D27416-B31F-4DF1-9AE3-BFD5E3FB9BB3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= Retail Banking (p.55) + Private Banking (p.55) - Mortgages (from p.76)</t>
        </r>
      </text>
    </comment>
    <comment ref="CC11" authorId="3" shapeId="0" xr:uid="{707D3A70-9EBD-4162-A116-688E013AE57C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This is for total retail + private banking and includes mortgages. Mortgages stage 2 split not available</t>
        </r>
      </text>
    </comment>
    <comment ref="CQ11" authorId="3" shapeId="0" xr:uid="{F2148C20-0BE2-4DEE-876C-1F8A2F426B12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L&amp;A to (PDF p.55)
1) Banks;
2) Corp/Instit Banking
3) Central &amp; Other
4) Undrawn commit
5) Fin Guarantees</t>
        </r>
      </text>
    </comment>
    <comment ref="CY11" authorId="3" shapeId="0" xr:uid="{80DE5018-CA26-4874-BA7F-4A8293D4421D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Other assets @ amortised cost, per PDF page 52:
1) Debt securities @ AC
2) Accrued Inc @ AC</t>
        </r>
      </text>
    </comment>
    <comment ref="FP11" authorId="3" shapeId="0" xr:uid="{55B31440-C82E-4BC6-B78B-DF6A3F944A43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Included in Comsumer (Retail Banking)</t>
        </r>
      </text>
    </comment>
    <comment ref="GB11" authorId="3" shapeId="0" xr:uid="{3E83D151-D058-474C-AB57-D453021EC024}">
      <text>
        <r>
          <rPr>
            <b/>
            <sz val="9"/>
            <color indexed="81"/>
            <rFont val="Tahoma"/>
            <family val="2"/>
          </rPr>
          <t>suzannedouglas:</t>
        </r>
        <r>
          <rPr>
            <sz val="9"/>
            <color indexed="81"/>
            <rFont val="Tahoma"/>
            <family val="2"/>
          </rPr>
          <t xml:space="preserve">
Included in Comsumer (Retail Banking)</t>
        </r>
      </text>
    </comment>
  </commentList>
</comments>
</file>

<file path=xl/sharedStrings.xml><?xml version="1.0" encoding="utf-8"?>
<sst xmlns="http://schemas.openxmlformats.org/spreadsheetml/2006/main" count="478" uniqueCount="237">
  <si>
    <t>Firm</t>
  </si>
  <si>
    <t>Assets @ Gross Amortised Cost (£bn)</t>
  </si>
  <si>
    <t>Loans and Advances to Customers @ Gross Amortised Cost (£bn)</t>
  </si>
  <si>
    <t>ECL (£m)</t>
  </si>
  <si>
    <t>Staging balances (%)</t>
  </si>
  <si>
    <t>Stage 2 Analysis</t>
  </si>
  <si>
    <t>Coverage (%)</t>
  </si>
  <si>
    <t>Loss rates</t>
  </si>
  <si>
    <t>Total Assets</t>
  </si>
  <si>
    <t>Loans and Advances</t>
  </si>
  <si>
    <t>Mortgages</t>
  </si>
  <si>
    <t>Consumer Lending (including Auto Finance)</t>
  </si>
  <si>
    <t>Corporate &amp; Commercial</t>
  </si>
  <si>
    <t>Other Loans &amp; Advances</t>
  </si>
  <si>
    <t>Other Assets</t>
  </si>
  <si>
    <t>Total</t>
  </si>
  <si>
    <t>Total Loans &amp; Advances</t>
  </si>
  <si>
    <t>% of S2 30+</t>
  </si>
  <si>
    <t>P&amp;L Charge (£m)</t>
  </si>
  <si>
    <t>AQR (% L&amp;A)</t>
  </si>
  <si>
    <t>Gross Write-offs (£m)</t>
  </si>
  <si>
    <t>Write-off rate (%)</t>
  </si>
  <si>
    <t>S1</t>
  </si>
  <si>
    <t>S2</t>
  </si>
  <si>
    <t>S2 UTD</t>
  </si>
  <si>
    <t>S230+</t>
  </si>
  <si>
    <t>S3</t>
  </si>
  <si>
    <t>POCI</t>
  </si>
  <si>
    <t>Mtgs</t>
  </si>
  <si>
    <t>Cons</t>
  </si>
  <si>
    <t>Comm</t>
  </si>
  <si>
    <t>Other L&amp;A</t>
  </si>
  <si>
    <t>Total L&amp;A</t>
  </si>
  <si>
    <t>Other</t>
  </si>
  <si>
    <t>N/A</t>
  </si>
  <si>
    <t>Barclays Group</t>
  </si>
  <si>
    <t>NatWest Group</t>
  </si>
  <si>
    <t>Standard Chatered</t>
  </si>
  <si>
    <t>Lloyds - Statutory</t>
  </si>
  <si>
    <t>HSBC Group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</si>
  <si>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</si>
  <si>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</si>
  <si>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</si>
  <si>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</si>
  <si>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</si>
  <si>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</si>
  <si>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</si>
  <si>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</si>
  <si>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</si>
  <si>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</si>
  <si>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</si>
  <si>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</si>
  <si>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</si>
  <si>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</si>
  <si>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</si>
  <si>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</si>
  <si>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</si>
  <si>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</si>
  <si>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</si>
  <si>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</si>
  <si>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</si>
  <si>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</si>
  <si>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</si>
  <si>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</si>
  <si>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</si>
  <si>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</si>
  <si>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</si>
  <si>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</si>
  <si>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</si>
  <si>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</si>
  <si>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</si>
  <si>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</si>
  <si>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</si>
  <si>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</si>
  <si>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</si>
  <si>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</si>
  <si>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</si>
  <si>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</si>
  <si>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</si>
  <si>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</si>
  <si>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</si>
  <si>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</si>
  <si>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</si>
  <si>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</si>
  <si>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</si>
  <si>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</si>
  <si>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</si>
  <si>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</si>
  <si>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</si>
  <si>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</si>
  <si>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</si>
  <si>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</si>
  <si>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</si>
  <si>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</si>
  <si>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</si>
  <si>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</si>
  <si>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</si>
  <si>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</si>
  <si>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</si>
  <si>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</si>
  <si>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</si>
  <si>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</si>
  <si>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</si>
  <si>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</si>
  <si>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</si>
  <si>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</si>
  <si>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</si>
  <si>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</si>
  <si>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</si>
  <si>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</si>
  <si>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</si>
  <si>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</si>
  <si>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</si>
  <si>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</si>
  <si>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</si>
  <si>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</si>
  <si>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</si>
  <si>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</si>
  <si>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</si>
  <si>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</si>
  <si>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</si>
  <si>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</si>
  <si>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</si>
  <si>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</si>
  <si>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</si>
  <si>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</si>
  <si>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</si>
  <si>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</si>
  <si>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</si>
  <si>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</si>
  <si>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</si>
  <si>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</si>
  <si>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</si>
  <si>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</si>
  <si>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</si>
  <si>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</si>
  <si>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</si>
  <si>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</si>
  <si>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</si>
  <si>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</si>
  <si>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</si>
  <si>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</si>
  <si>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</si>
  <si>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</si>
  <si>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</si>
  <si>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</si>
  <si>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</si>
  <si>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</si>
  <si>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</si>
  <si>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</si>
  <si>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</si>
  <si>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</si>
  <si>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</si>
  <si>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</si>
  <si>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</si>
  <si>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</si>
  <si>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</si>
  <si>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</si>
  <si>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</si>
  <si>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</si>
  <si>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</si>
  <si>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</si>
  <si>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</si>
  <si>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</si>
  <si>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</si>
  <si>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</si>
  <si>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</si>
  <si>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</si>
  <si>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</si>
  <si>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</si>
  <si>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</si>
  <si>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</si>
  <si>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</si>
  <si>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</si>
  <si>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</si>
  <si>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</si>
  <si>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</si>
  <si>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</si>
  <si>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</si>
  <si>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</si>
  <si>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</si>
  <si>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</si>
  <si>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</si>
  <si>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</si>
  <si>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</si>
  <si>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</si>
  <si>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</si>
  <si>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</si>
  <si>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</si>
  <si>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</si>
  <si>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</si>
  <si>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</si>
  <si>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</si>
  <si>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</si>
  <si>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</si>
  <si>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</si>
  <si>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</si>
  <si>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</si>
  <si>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</si>
  <si>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</si>
  <si>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</si>
  <si>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</si>
  <si>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</si>
  <si>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</si>
  <si>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</si>
  <si>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</si>
  <si>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</si>
  <si>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</si>
  <si>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</si>
  <si>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</si>
  <si>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</si>
  <si>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</si>
  <si>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</si>
  <si>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</si>
  <si>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</si>
  <si>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</si>
  <si>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</si>
  <si>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</si>
  <si>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</si>
  <si>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</si>
  <si>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</si>
  <si>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</si>
  <si>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</si>
  <si>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</si>
  <si>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</si>
  <si>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</si>
  <si>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</si>
  <si>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</si>
  <si>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</si>
  <si>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</si>
  <si>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</si>
  <si>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</si>
  <si>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</si>
  <si>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</si>
  <si>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S1 &amp; S2 
Impairment (£ mn)</t>
  </si>
  <si>
    <t>S1 &amp; S2 
Exposure (£ mn)</t>
  </si>
  <si>
    <t>Financials and coverage 2Q20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</si>
</sst>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7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3" fillId="0" borderId="1" xfId="0" applyFont="1" applyBorder="1"/>
    <xf numFmtId="3" fontId="4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9" fontId="0" fillId="0" borderId="1" xfId="1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3" fontId="0" fillId="2" borderId="0" xfId="0" applyNumberFormat="1" applyFill="1" applyAlignment="1">
      <alignment horizontal="right" vertical="center"/>
    </xf>
    <xf numFmtId="164" fontId="0" fillId="0" borderId="0" xfId="0" applyNumberFormat="1" applyAlignment="1">
      <alignment vertical="center"/>
    </xf>
    <xf numFmtId="0" fontId="0" fillId="3" borderId="0" xfId="0" applyFill="1"/>
    <xf numFmtId="0" fontId="2" fillId="3" borderId="1" xfId="0" applyFont="1" applyFill="1" applyBorder="1" applyAlignment="1">
      <alignment horizontal="centerContinuous"/>
    </xf>
    <xf numFmtId="0" fontId="0" fillId="0" borderId="0" xfId="0" applyAlignment="1">
      <alignment horizontal="left"/>
    </xf>
    <xf numFmtId="164" fontId="2" fillId="3" borderId="1" xfId="0" applyNumberFormat="1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0" xfId="0" applyAlignment="1">
      <alignment horizontal="right"/>
    </xf>
    <xf numFmtId="3" fontId="0" fillId="0" borderId="2" xfId="0" applyNumberFormat="1" applyBorder="1" applyAlignment="1">
      <alignment horizontal="centerContinuous" vertical="center"/>
    </xf>
    <xf numFmtId="164" fontId="0" fillId="0" borderId="2" xfId="0" applyNumberFormat="1" applyBorder="1" applyAlignment="1">
      <alignment horizontal="centerContinuous"/>
    </xf>
    <xf numFmtId="3" fontId="0" fillId="0" borderId="2" xfId="0" applyNumberFormat="1" applyBorder="1" applyAlignment="1">
      <alignment horizontal="centerContinuous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3" fontId="5" fillId="0" borderId="0" xfId="0" applyNumberFormat="1" applyFont="1" applyAlignment="1">
      <alignment vertical="center" wrapText="1"/>
    </xf>
    <xf numFmtId="3" fontId="5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4" fontId="5" fillId="0" borderId="0" xfId="0" applyNumberFormat="1" applyFont="1" applyAlignment="1">
      <alignment vertical="center" wrapText="1"/>
    </xf>
    <xf numFmtId="3" fontId="6" fillId="0" borderId="0" xfId="0" applyNumberFormat="1" applyFont="1" applyAlignment="1">
      <alignment horizontal="right" vertical="center" wrapText="1"/>
    </xf>
    <xf numFmtId="165" fontId="6" fillId="0" borderId="0" xfId="0" applyNumberFormat="1" applyFont="1" applyAlignment="1">
      <alignment horizontal="right" vertical="center" wrapText="1"/>
    </xf>
    <xf numFmtId="9" fontId="7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10" fontId="0" fillId="4" borderId="0" xfId="0" applyNumberFormat="1" applyFill="1" applyAlignment="1">
      <alignment horizontal="right" vertical="center"/>
    </xf>
    <xf numFmtId="10" fontId="0" fillId="5" borderId="0" xfId="0" applyNumberForma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3" fontId="8" fillId="0" borderId="0" xfId="0" applyNumberFormat="1" applyFont="1"/>
    <xf numFmtId="10" fontId="0" fillId="0" borderId="0" xfId="0" applyNumberFormat="1" applyAlignment="1">
      <alignment horizontal="right"/>
    </xf>
    <xf numFmtId="3" fontId="8" fillId="0" borderId="0" xfId="0" applyNumberFormat="1" applyFont="1" applyAlignment="1">
      <alignment horizontal="right"/>
    </xf>
    <xf numFmtId="9" fontId="0" fillId="0" borderId="0" xfId="0" applyNumberFormat="1"/>
    <xf numFmtId="3" fontId="6" fillId="0" borderId="0" xfId="0" applyNumberFormat="1" applyFont="1"/>
    <xf numFmtId="3" fontId="0" fillId="0" borderId="0" xfId="0" applyNumberFormat="1"/>
    <xf numFmtId="3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/>
    </xf>
    <xf numFmtId="0" fontId="0" fillId="2" borderId="0" xfId="0" applyFill="1" applyAlignment="1">
      <alignment vertical="center"/>
    </xf>
    <xf numFmtId="3" fontId="6" fillId="2" borderId="0" xfId="0" applyNumberFormat="1" applyFont="1" applyFill="1" applyAlignment="1">
      <alignment horizontal="right" vertical="center" wrapText="1"/>
    </xf>
    <xf numFmtId="3" fontId="0" fillId="2" borderId="0" xfId="0" applyNumberFormat="1" applyFill="1" applyAlignment="1">
      <alignment vertical="center" wrapText="1"/>
    </xf>
    <xf numFmtId="167" fontId="6" fillId="2" borderId="0" xfId="0" applyNumberFormat="1" applyFont="1" applyFill="1" applyAlignment="1">
      <alignment horizontal="right" vertical="center" wrapText="1"/>
    </xf>
    <xf numFmtId="167" fontId="0" fillId="2" borderId="0" xfId="0" applyNumberFormat="1" applyFill="1" applyAlignment="1">
      <alignment vertical="center" wrapText="1"/>
    </xf>
    <xf numFmtId="10" fontId="7" fillId="2" borderId="0" xfId="0" applyNumberFormat="1" applyFont="1" applyFill="1" applyAlignment="1">
      <alignment horizontal="right" vertical="center" wrapText="1"/>
    </xf>
    <xf numFmtId="9" fontId="7" fillId="2" borderId="0" xfId="0" applyNumberFormat="1" applyFont="1" applyFill="1" applyAlignment="1">
      <alignment horizontal="right" vertical="center" wrapText="1"/>
    </xf>
    <xf numFmtId="164" fontId="0" fillId="2" borderId="0" xfId="0" applyNumberFormat="1" applyFill="1" applyAlignment="1">
      <alignment horizontal="right" vertical="center" wrapText="1"/>
    </xf>
    <xf numFmtId="10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 vertical="center"/>
    </xf>
    <xf numFmtId="0" fontId="0" fillId="2" borderId="0" xfId="0" applyFill="1"/>
    <xf numFmtId="3" fontId="0" fillId="2" borderId="0" xfId="0" applyNumberFormat="1" applyFill="1"/>
    <xf numFmtId="10" fontId="0" fillId="2" borderId="0" xfId="0" applyNumberFormat="1" applyFill="1" applyAlignment="1">
      <alignment horizontal="right"/>
    </xf>
    <xf numFmtId="3" fontId="0" fillId="2" borderId="0" xfId="0" applyNumberFormat="1" applyFill="1" applyAlignment="1">
      <alignment horizontal="right"/>
    </xf>
    <xf numFmtId="3" fontId="7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/>
    <xf numFmtId="167" fontId="7" fillId="0" borderId="0" xfId="0" applyNumberFormat="1" applyFont="1" applyAlignment="1">
      <alignment horizontal="right" vertical="center" wrapText="1"/>
    </xf>
    <xf numFmtId="167" fontId="7" fillId="0" borderId="0" xfId="0" applyNumberFormat="1" applyFont="1"/>
    <xf numFmtId="10" fontId="7" fillId="0" borderId="0" xfId="0" applyNumberFormat="1" applyFont="1" applyAlignment="1">
      <alignment horizontal="right"/>
    </xf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4" fontId="0" fillId="0" borderId="0" xfId="0" applyNumberFormat="1" applyAlignment="1">
      <alignment vertical="center"/>
    </xf>
    <xf numFmtId="3" fontId="9" fillId="0" borderId="0" xfId="0" quotePrefix="1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0" fillId="0" borderId="0" xfId="0" quotePrefix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6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Continuous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6" borderId="6" xfId="0" applyFill="1" applyBorder="1" applyAlignment="1">
      <alignment horizontal="center" vertical="center" wrapText="1"/>
    </xf>
    <xf numFmtId="0" fontId="3" fillId="0" borderId="0" xfId="0" applyFont="1" applyBorder="1"/>
    <xf numFmtId="3" fontId="4" fillId="0" borderId="0" xfId="0" applyNumberFormat="1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right" vertical="center"/>
    </xf>
    <xf numFmtId="3" fontId="3" fillId="0" borderId="0" xfId="0" applyNumberFormat="1" applyFont="1" applyBorder="1" applyAlignment="1">
      <alignment vertical="center"/>
    </xf>
    <xf numFmtId="3" fontId="0" fillId="0" borderId="0" xfId="0" applyNumberFormat="1" applyBorder="1" applyAlignment="1">
      <alignment vertical="center"/>
    </xf>
    <xf numFmtId="9" fontId="0" fillId="0" borderId="0" xfId="1" applyFont="1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164" fontId="0" fillId="0" borderId="0" xfId="0" applyNumberFormat="1" applyBorder="1" applyAlignment="1">
      <alignment vertical="center"/>
    </xf>
    <xf numFmtId="0" fontId="0" fillId="0" borderId="0" xfId="0" applyBorder="1"/>
    <xf numFmtId="3" fontId="0" fillId="0" borderId="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loitteColors">
  <a:themeElements>
    <a:clrScheme name="Deloitt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7F31-BCB3-484F-94A8-40B5D0473306}">
  <dimension ref="A1:GO21"/>
  <sheetViews>
    <sheetView tabSelected="1" workbookViewId="0">
      <selection activeCell="A2" sqref="A2"/>
    </sheetView>
  </sheetViews>
  <sheetFormatPr defaultColWidth="8.7109375" defaultRowHeight="15" x14ac:dyDescent="0.25"/>
  <cols>
    <col min="1" max="1" width="36.7109375" customWidth="1"/>
    <col min="2" max="2" width="1.5703125" customWidth="1"/>
    <col min="3" max="9" width="8.5703125" style="11" customWidth="1"/>
    <col min="10" max="10" width="1.5703125" style="11" customWidth="1"/>
    <col min="11" max="17" width="8.5703125" style="11" customWidth="1"/>
    <col min="18" max="18" width="1.5703125" style="11" customWidth="1"/>
    <col min="19" max="25" width="8.5703125" style="12" customWidth="1"/>
    <col min="26" max="26" width="1.5703125" style="12" customWidth="1"/>
    <col min="27" max="33" width="8.5703125" style="12" customWidth="1"/>
    <col min="34" max="34" width="1.5703125" style="12" customWidth="1"/>
    <col min="35" max="41" width="8.5703125" style="12" customWidth="1"/>
    <col min="42" max="42" width="1.5703125" style="12" customWidth="1"/>
    <col min="43" max="49" width="8.5703125" style="12" customWidth="1"/>
    <col min="50" max="50" width="1.5703125" style="12" customWidth="1"/>
    <col min="51" max="57" width="8.5703125" style="12" customWidth="1"/>
    <col min="58" max="58" width="1.5703125" style="12" customWidth="1"/>
    <col min="59" max="62" width="8.5703125" style="12" customWidth="1"/>
    <col min="63" max="63" width="8.5703125" style="11" customWidth="1"/>
    <col min="64" max="64" width="1.5703125" style="11" customWidth="1"/>
    <col min="65" max="68" width="8.5703125" style="12" customWidth="1"/>
    <col min="69" max="69" width="11.42578125" style="11" bestFit="1" customWidth="1"/>
    <col min="70" max="70" width="1.5703125" style="11" customWidth="1"/>
    <col min="71" max="72" width="8.5703125" style="12" customWidth="1"/>
    <col min="73" max="74" width="8.5703125" style="11" customWidth="1"/>
    <col min="75" max="77" width="8.5703125" style="12" customWidth="1"/>
    <col min="78" max="78" width="1.5703125" style="12" customWidth="1"/>
    <col min="79" max="85" width="8.5703125" style="12" customWidth="1"/>
    <col min="86" max="86" width="1.5703125" style="12" customWidth="1"/>
    <col min="87" max="93" width="8.5703125" style="12" customWidth="1"/>
    <col min="94" max="94" width="1.5703125" style="12" customWidth="1"/>
    <col min="95" max="101" width="8.5703125" style="12" customWidth="1"/>
    <col min="102" max="102" width="1.5703125" style="12" customWidth="1"/>
    <col min="103" max="109" width="8.5703125" style="12" customWidth="1"/>
    <col min="110" max="110" width="1.5703125" style="12" customWidth="1"/>
    <col min="111" max="114" width="8.5703125" style="12" customWidth="1"/>
    <col min="115" max="115" width="1.5703125" style="12" customWidth="1"/>
    <col min="116" max="119" width="8.5703125" style="12" customWidth="1"/>
    <col min="120" max="120" width="1.5703125" style="12" customWidth="1"/>
    <col min="121" max="124" width="8.5703125" style="12" customWidth="1"/>
    <col min="125" max="125" width="1.5703125" style="12" customWidth="1"/>
    <col min="126" max="129" width="8.5703125" style="12" customWidth="1"/>
    <col min="130" max="130" width="1.5703125" style="12" customWidth="1"/>
    <col min="131" max="134" width="8.5703125" style="12" customWidth="1"/>
    <col min="135" max="135" width="1.5703125" style="12" customWidth="1"/>
    <col min="136" max="140" width="8.5703125" style="12" customWidth="1"/>
    <col min="141" max="141" width="1.5703125" style="12" customWidth="1"/>
    <col min="142" max="146" width="8.5703125" style="11" customWidth="1"/>
    <col min="147" max="147" width="1.5703125" style="11" customWidth="1"/>
    <col min="148" max="152" width="8.5703125" style="12" customWidth="1"/>
    <col min="153" max="153" width="1.5703125" style="12" customWidth="1"/>
    <col min="154" max="154" width="8.5703125" style="12" customWidth="1"/>
    <col min="155" max="158" width="8.5703125" style="14" customWidth="1"/>
    <col min="159" max="159" width="1.5703125" style="12" customWidth="1"/>
    <col min="160" max="160" width="8.5703125" style="12" customWidth="1"/>
    <col min="161" max="164" width="8.5703125" style="14" customWidth="1"/>
    <col min="165" max="165" width="1.5703125" style="12" customWidth="1"/>
    <col min="166" max="166" width="8.5703125" style="12" customWidth="1"/>
    <col min="167" max="170" width="8.5703125" style="14" customWidth="1"/>
    <col min="171" max="171" width="1.5703125" customWidth="1"/>
    <col min="175" max="175" width="9.5703125" customWidth="1"/>
    <col min="176" max="176" width="11.7109375" style="47" customWidth="1"/>
    <col min="177" max="177" width="1.5703125" customWidth="1"/>
    <col min="181" max="181" width="11.5703125" customWidth="1"/>
    <col min="183" max="183" width="1.5703125" customWidth="1"/>
    <col min="189" max="189" width="1.5703125" customWidth="1"/>
  </cols>
  <sheetData>
    <row r="1" spans="1:197" ht="18.75" x14ac:dyDescent="0.3">
      <c r="A1" s="1" t="s">
        <v>236</v>
      </c>
      <c r="B1" s="1"/>
      <c r="C1" s="2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 t="e">
        <f>BK9/BK3</f>
        <v>#VALUE!</v>
      </c>
      <c r="BL1" s="7"/>
      <c r="BM1" s="5"/>
      <c r="BN1" s="5"/>
      <c r="BO1" s="5"/>
      <c r="BP1" s="5"/>
      <c r="BQ1" s="7"/>
      <c r="BR1" s="7"/>
      <c r="BS1" s="5"/>
      <c r="BT1" s="5"/>
      <c r="BU1" s="7"/>
      <c r="BV1" s="7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7"/>
      <c r="EM1" s="7"/>
      <c r="EN1" s="7"/>
      <c r="EO1" s="7"/>
      <c r="EP1" s="7"/>
      <c r="EQ1" s="7"/>
      <c r="ER1" s="5"/>
      <c r="ES1" s="5"/>
      <c r="ET1" s="5"/>
      <c r="EU1" s="5"/>
      <c r="EV1" s="5"/>
      <c r="EW1" s="5"/>
      <c r="EX1" s="5"/>
      <c r="EY1" s="8"/>
      <c r="EZ1" s="8"/>
      <c r="FA1" s="8"/>
      <c r="FB1" s="8"/>
      <c r="FC1" s="5"/>
      <c r="FD1" s="5"/>
      <c r="FE1" s="8"/>
      <c r="FF1" s="8"/>
      <c r="FG1" s="8"/>
      <c r="FH1" s="8"/>
      <c r="FI1" s="5"/>
      <c r="FJ1" s="5"/>
      <c r="FK1" s="8"/>
      <c r="FL1" s="8"/>
      <c r="FM1" s="8"/>
      <c r="FN1" s="8"/>
      <c r="FO1" s="9"/>
      <c r="FP1" s="9"/>
      <c r="FQ1" s="9"/>
      <c r="FR1" s="9"/>
      <c r="FS1" s="9"/>
      <c r="FT1" s="10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</row>
    <row r="2" spans="1:197" ht="18.75" x14ac:dyDescent="0.3">
      <c r="A2" s="90"/>
      <c r="B2" s="90"/>
      <c r="C2" s="91"/>
      <c r="D2" s="92"/>
      <c r="E2" s="91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93"/>
      <c r="U2" s="93"/>
      <c r="V2" s="93"/>
      <c r="W2" s="93"/>
      <c r="X2" s="93"/>
      <c r="Y2" s="93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5"/>
      <c r="BL2" s="96"/>
      <c r="BM2" s="94"/>
      <c r="BN2" s="94"/>
      <c r="BO2" s="94"/>
      <c r="BP2" s="94"/>
      <c r="BQ2" s="96"/>
      <c r="BR2" s="96"/>
      <c r="BS2" s="94"/>
      <c r="BT2" s="94"/>
      <c r="BU2" s="96"/>
      <c r="BV2" s="96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  <c r="CI2" s="94"/>
      <c r="CJ2" s="94"/>
      <c r="CK2" s="94"/>
      <c r="CL2" s="94"/>
      <c r="CM2" s="94"/>
      <c r="CN2" s="94"/>
      <c r="CO2" s="94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4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4"/>
      <c r="DL2" s="94"/>
      <c r="DM2" s="94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4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4"/>
      <c r="EJ2" s="94"/>
      <c r="EK2" s="94"/>
      <c r="EL2" s="96"/>
      <c r="EM2" s="96"/>
      <c r="EN2" s="96"/>
      <c r="EO2" s="96"/>
      <c r="EP2" s="96"/>
      <c r="EQ2" s="96"/>
      <c r="ER2" s="94"/>
      <c r="ES2" s="94"/>
      <c r="ET2" s="94"/>
      <c r="EU2" s="94"/>
      <c r="EV2" s="94"/>
      <c r="EW2" s="94"/>
      <c r="EX2" s="94"/>
      <c r="EY2" s="97"/>
      <c r="EZ2" s="97"/>
      <c r="FA2" s="97"/>
      <c r="FB2" s="97"/>
      <c r="FC2" s="94"/>
      <c r="FD2" s="94"/>
      <c r="FE2" s="97"/>
      <c r="FF2" s="97"/>
      <c r="FG2" s="97"/>
      <c r="FH2" s="97"/>
      <c r="FI2" s="94"/>
      <c r="FJ2" s="94"/>
      <c r="FK2" s="97"/>
      <c r="FL2" s="97"/>
      <c r="FM2" s="97"/>
      <c r="FN2" s="97"/>
      <c r="FO2" s="98"/>
      <c r="FP2" s="98"/>
      <c r="FQ2" s="98"/>
      <c r="FR2" s="98"/>
      <c r="FS2" s="98"/>
      <c r="FT2" s="99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</row>
    <row r="3" spans="1:197" x14ac:dyDescent="0.25">
      <c r="A3" t="s">
        <v>40</v>
      </c>
      <c r="B3" t="s">
        <v>41</v>
      </c>
      <c r="C3" s="83" t="s">
        <v>42</v>
      </c>
      <c r="D3" s="83" t="s">
        <v>43</v>
      </c>
      <c r="E3" s="83" t="s">
        <v>44</v>
      </c>
      <c r="F3" s="83" t="s">
        <v>45</v>
      </c>
      <c r="G3" s="83" t="s">
        <v>46</v>
      </c>
      <c r="H3" s="83" t="s">
        <v>47</v>
      </c>
      <c r="I3" s="83" t="s">
        <v>48</v>
      </c>
      <c r="J3" s="83" t="s">
        <v>49</v>
      </c>
      <c r="K3" s="83" t="s">
        <v>50</v>
      </c>
      <c r="L3" s="83" t="s">
        <v>51</v>
      </c>
      <c r="M3" s="83" t="s">
        <v>52</v>
      </c>
      <c r="N3" s="83" t="s">
        <v>53</v>
      </c>
      <c r="O3" s="83" t="s">
        <v>54</v>
      </c>
      <c r="P3" s="83" t="s">
        <v>55</v>
      </c>
      <c r="Q3" s="83" t="s">
        <v>56</v>
      </c>
      <c r="R3" s="83" t="s">
        <v>57</v>
      </c>
      <c r="S3" s="83" t="s">
        <v>58</v>
      </c>
      <c r="T3" s="83" t="s">
        <v>59</v>
      </c>
      <c r="U3" s="83" t="s">
        <v>60</v>
      </c>
      <c r="V3" s="83" t="s">
        <v>61</v>
      </c>
      <c r="W3" s="83" t="s">
        <v>62</v>
      </c>
      <c r="X3" s="83" t="s">
        <v>63</v>
      </c>
      <c r="Y3" s="83" t="s">
        <v>64</v>
      </c>
      <c r="Z3" s="83" t="s">
        <v>65</v>
      </c>
      <c r="AA3" s="83" t="s">
        <v>66</v>
      </c>
      <c r="AB3" s="83" t="s">
        <v>67</v>
      </c>
      <c r="AC3" s="83" t="s">
        <v>68</v>
      </c>
      <c r="AD3" s="83" t="s">
        <v>69</v>
      </c>
      <c r="AE3" s="83" t="s">
        <v>70</v>
      </c>
      <c r="AF3" s="83" t="s">
        <v>71</v>
      </c>
      <c r="AG3" s="83" t="s">
        <v>72</v>
      </c>
      <c r="AH3" s="83" t="s">
        <v>73</v>
      </c>
      <c r="AI3" s="83" t="s">
        <v>74</v>
      </c>
      <c r="AJ3" s="83" t="s">
        <v>75</v>
      </c>
      <c r="AK3" s="83" t="s">
        <v>76</v>
      </c>
      <c r="AL3" s="83" t="s">
        <v>77</v>
      </c>
      <c r="AM3" s="83" t="s">
        <v>78</v>
      </c>
      <c r="AN3" s="83" t="s">
        <v>79</v>
      </c>
      <c r="AO3" s="83" t="s">
        <v>80</v>
      </c>
      <c r="AP3" s="83" t="s">
        <v>81</v>
      </c>
      <c r="AQ3" s="83" t="s">
        <v>82</v>
      </c>
      <c r="AR3" s="83" t="s">
        <v>83</v>
      </c>
      <c r="AS3" s="83" t="s">
        <v>84</v>
      </c>
      <c r="AT3" s="83" t="s">
        <v>85</v>
      </c>
      <c r="AU3" s="83" t="s">
        <v>86</v>
      </c>
      <c r="AV3" s="83" t="s">
        <v>87</v>
      </c>
      <c r="AW3" s="83" t="s">
        <v>88</v>
      </c>
      <c r="AX3" s="83" t="s">
        <v>89</v>
      </c>
      <c r="AY3" s="83" t="s">
        <v>90</v>
      </c>
      <c r="AZ3" s="83" t="s">
        <v>91</v>
      </c>
      <c r="BA3" s="83" t="s">
        <v>92</v>
      </c>
      <c r="BB3" s="83" t="s">
        <v>93</v>
      </c>
      <c r="BC3" s="83" t="s">
        <v>94</v>
      </c>
      <c r="BD3" s="83" t="s">
        <v>95</v>
      </c>
      <c r="BE3" s="83" t="s">
        <v>96</v>
      </c>
      <c r="BF3" s="83" t="s">
        <v>97</v>
      </c>
      <c r="BG3" s="83" t="s">
        <v>98</v>
      </c>
      <c r="BH3" s="83" t="s">
        <v>99</v>
      </c>
      <c r="BI3" s="83" t="s">
        <v>100</v>
      </c>
      <c r="BJ3" s="83" t="s">
        <v>101</v>
      </c>
      <c r="BK3" s="83" t="s">
        <v>102</v>
      </c>
      <c r="BL3" s="83" t="s">
        <v>103</v>
      </c>
      <c r="BM3" s="83" t="s">
        <v>104</v>
      </c>
      <c r="BN3" s="83" t="s">
        <v>105</v>
      </c>
      <c r="BO3" s="83" t="s">
        <v>106</v>
      </c>
      <c r="BP3" s="83" t="s">
        <v>107</v>
      </c>
      <c r="BQ3" s="83" t="s">
        <v>108</v>
      </c>
      <c r="BR3" s="83" t="s">
        <v>109</v>
      </c>
      <c r="BS3" s="83" t="s">
        <v>110</v>
      </c>
      <c r="BT3" s="83" t="s">
        <v>111</v>
      </c>
      <c r="BU3" s="83" t="s">
        <v>112</v>
      </c>
      <c r="BV3" s="83" t="s">
        <v>113</v>
      </c>
      <c r="BW3" s="83" t="s">
        <v>114</v>
      </c>
      <c r="BX3" s="83" t="s">
        <v>115</v>
      </c>
      <c r="BY3" s="83" t="s">
        <v>116</v>
      </c>
      <c r="BZ3" s="83" t="s">
        <v>117</v>
      </c>
      <c r="CA3" s="83" t="s">
        <v>118</v>
      </c>
      <c r="CB3" s="83" t="s">
        <v>119</v>
      </c>
      <c r="CC3" s="83" t="s">
        <v>120</v>
      </c>
      <c r="CD3" s="83" t="s">
        <v>121</v>
      </c>
      <c r="CE3" s="83" t="s">
        <v>122</v>
      </c>
      <c r="CF3" s="83" t="s">
        <v>123</v>
      </c>
      <c r="CG3" s="83" t="s">
        <v>124</v>
      </c>
      <c r="CH3" s="83" t="s">
        <v>125</v>
      </c>
      <c r="CI3" s="83" t="s">
        <v>126</v>
      </c>
      <c r="CJ3" s="83" t="s">
        <v>127</v>
      </c>
      <c r="CK3" s="83" t="s">
        <v>128</v>
      </c>
      <c r="CL3" s="83" t="s">
        <v>129</v>
      </c>
      <c r="CM3" s="83" t="s">
        <v>130</v>
      </c>
      <c r="CN3" s="83" t="s">
        <v>131</v>
      </c>
      <c r="CO3" s="83" t="s">
        <v>132</v>
      </c>
      <c r="CP3" s="83" t="s">
        <v>133</v>
      </c>
      <c r="CQ3" s="83" t="s">
        <v>134</v>
      </c>
      <c r="CR3" s="83" t="s">
        <v>135</v>
      </c>
      <c r="CS3" s="83" t="s">
        <v>136</v>
      </c>
      <c r="CT3" s="83" t="s">
        <v>137</v>
      </c>
      <c r="CU3" s="83" t="s">
        <v>138</v>
      </c>
      <c r="CV3" s="83" t="s">
        <v>139</v>
      </c>
      <c r="CW3" s="83" t="s">
        <v>140</v>
      </c>
      <c r="CX3" s="83" t="s">
        <v>141</v>
      </c>
      <c r="CY3" s="83" t="s">
        <v>142</v>
      </c>
      <c r="CZ3" s="83" t="s">
        <v>143</v>
      </c>
      <c r="DA3" s="83" t="s">
        <v>144</v>
      </c>
      <c r="DB3" s="83" t="s">
        <v>145</v>
      </c>
      <c r="DC3" s="83" t="s">
        <v>146</v>
      </c>
      <c r="DD3" s="83" t="s">
        <v>147</v>
      </c>
      <c r="DE3" s="83" t="s">
        <v>148</v>
      </c>
      <c r="DF3" s="83" t="s">
        <v>149</v>
      </c>
      <c r="DG3" s="83" t="s">
        <v>150</v>
      </c>
      <c r="DH3" s="83" t="s">
        <v>151</v>
      </c>
      <c r="DI3" s="83" t="s">
        <v>152</v>
      </c>
      <c r="DJ3" s="83" t="s">
        <v>153</v>
      </c>
      <c r="DK3" s="83" t="s">
        <v>154</v>
      </c>
      <c r="DL3" s="83" t="s">
        <v>155</v>
      </c>
      <c r="DM3" s="83" t="s">
        <v>156</v>
      </c>
      <c r="DN3" s="83" t="s">
        <v>157</v>
      </c>
      <c r="DO3" s="83" t="s">
        <v>158</v>
      </c>
      <c r="DP3" s="83" t="s">
        <v>159</v>
      </c>
      <c r="DQ3" s="83" t="s">
        <v>160</v>
      </c>
      <c r="DR3" s="83" t="s">
        <v>161</v>
      </c>
      <c r="DS3" s="83" t="s">
        <v>162</v>
      </c>
      <c r="DT3" s="83" t="s">
        <v>163</v>
      </c>
      <c r="DU3" s="83" t="s">
        <v>164</v>
      </c>
      <c r="DV3" s="83" t="s">
        <v>165</v>
      </c>
      <c r="DW3" s="83" t="s">
        <v>166</v>
      </c>
      <c r="DX3" s="83" t="s">
        <v>167</v>
      </c>
      <c r="DY3" s="83" t="s">
        <v>168</v>
      </c>
      <c r="DZ3" s="83" t="s">
        <v>169</v>
      </c>
      <c r="EA3" s="83" t="s">
        <v>170</v>
      </c>
      <c r="EB3" s="83" t="s">
        <v>171</v>
      </c>
      <c r="EC3" s="83" t="s">
        <v>172</v>
      </c>
      <c r="ED3" s="83" t="s">
        <v>173</v>
      </c>
      <c r="EE3" s="83" t="s">
        <v>174</v>
      </c>
      <c r="EF3" s="83" t="s">
        <v>175</v>
      </c>
      <c r="EG3" s="83" t="s">
        <v>176</v>
      </c>
      <c r="EH3" s="83" t="s">
        <v>177</v>
      </c>
      <c r="EI3" s="83" t="s">
        <v>178</v>
      </c>
      <c r="EJ3" s="83" t="s">
        <v>179</v>
      </c>
      <c r="EK3" s="83" t="s">
        <v>180</v>
      </c>
      <c r="EL3" s="83" t="s">
        <v>181</v>
      </c>
      <c r="EM3" s="83" t="s">
        <v>182</v>
      </c>
      <c r="EN3" s="83" t="s">
        <v>183</v>
      </c>
      <c r="EO3" s="83" t="s">
        <v>184</v>
      </c>
      <c r="EP3" s="83" t="s">
        <v>185</v>
      </c>
      <c r="EQ3" s="83" t="s">
        <v>186</v>
      </c>
      <c r="ER3" s="83" t="s">
        <v>187</v>
      </c>
      <c r="ES3" s="83" t="s">
        <v>188</v>
      </c>
      <c r="ET3" s="83" t="s">
        <v>189</v>
      </c>
      <c r="EU3" s="83" t="s">
        <v>190</v>
      </c>
      <c r="EV3" s="83" t="s">
        <v>191</v>
      </c>
      <c r="EW3" s="83" t="s">
        <v>192</v>
      </c>
      <c r="EX3" s="83" t="s">
        <v>193</v>
      </c>
      <c r="EY3" s="83" t="s">
        <v>194</v>
      </c>
      <c r="EZ3" s="83" t="s">
        <v>195</v>
      </c>
      <c r="FA3" s="83" t="s">
        <v>196</v>
      </c>
      <c r="FB3" s="83" t="s">
        <v>197</v>
      </c>
      <c r="FC3" s="83" t="s">
        <v>198</v>
      </c>
      <c r="FD3" s="83" t="s">
        <v>199</v>
      </c>
      <c r="FE3" s="83" t="s">
        <v>200</v>
      </c>
      <c r="FF3" s="83" t="s">
        <v>201</v>
      </c>
      <c r="FG3" s="83" t="s">
        <v>202</v>
      </c>
      <c r="FH3" s="83" t="s">
        <v>203</v>
      </c>
      <c r="FI3" s="83" t="s">
        <v>204</v>
      </c>
      <c r="FJ3" s="83" t="s">
        <v>205</v>
      </c>
      <c r="FK3" s="83" t="s">
        <v>206</v>
      </c>
      <c r="FL3" s="83" t="s">
        <v>207</v>
      </c>
      <c r="FM3" s="83" t="s">
        <v>208</v>
      </c>
      <c r="FN3" s="83" t="s">
        <v>209</v>
      </c>
      <c r="FO3" s="83" t="s">
        <v>210</v>
      </c>
      <c r="FP3" s="83" t="s">
        <v>211</v>
      </c>
      <c r="FQ3" s="83" t="s">
        <v>212</v>
      </c>
      <c r="FR3" s="83" t="s">
        <v>213</v>
      </c>
      <c r="FS3" s="83" t="s">
        <v>214</v>
      </c>
      <c r="FT3" s="83" t="s">
        <v>215</v>
      </c>
      <c r="FU3" s="83" t="s">
        <v>216</v>
      </c>
      <c r="FV3" s="83" t="s">
        <v>217</v>
      </c>
      <c r="FW3" s="83" t="s">
        <v>218</v>
      </c>
      <c r="FX3" s="83" t="s">
        <v>219</v>
      </c>
      <c r="FY3" s="83" t="s">
        <v>220</v>
      </c>
      <c r="FZ3" s="83" t="s">
        <v>221</v>
      </c>
      <c r="GA3" s="83" t="s">
        <v>222</v>
      </c>
      <c r="GB3" s="83" t="s">
        <v>223</v>
      </c>
      <c r="GC3" s="83" t="s">
        <v>224</v>
      </c>
      <c r="GD3" s="83" t="s">
        <v>225</v>
      </c>
      <c r="GE3" s="83" t="s">
        <v>226</v>
      </c>
      <c r="GF3" s="83" t="s">
        <v>227</v>
      </c>
      <c r="GG3" s="83" t="s">
        <v>228</v>
      </c>
      <c r="GH3" s="83" t="s">
        <v>229</v>
      </c>
      <c r="GI3" s="83" t="s">
        <v>230</v>
      </c>
      <c r="GJ3" s="83" t="s">
        <v>231</v>
      </c>
      <c r="GK3" s="83" t="s">
        <v>232</v>
      </c>
      <c r="GL3" s="83" t="s">
        <v>233</v>
      </c>
    </row>
    <row r="4" spans="1:197" x14ac:dyDescent="0.25">
      <c r="A4" s="15" t="s">
        <v>0</v>
      </c>
      <c r="C4" s="16" t="s">
        <v>1</v>
      </c>
      <c r="D4" s="16"/>
      <c r="E4" s="16"/>
      <c r="F4" s="16"/>
      <c r="G4" s="16"/>
      <c r="H4" s="16"/>
      <c r="I4" s="16"/>
      <c r="J4" s="16"/>
      <c r="K4" s="16" t="s">
        <v>2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84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7"/>
      <c r="BG4" s="16" t="s">
        <v>3</v>
      </c>
      <c r="BH4" s="16"/>
      <c r="BI4" s="16"/>
      <c r="BJ4" s="16"/>
      <c r="BK4" s="16"/>
      <c r="BL4" s="16"/>
      <c r="BM4" s="16" t="s">
        <v>3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7"/>
      <c r="DG4" s="16" t="s">
        <v>4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7"/>
      <c r="EF4" s="16" t="s">
        <v>5</v>
      </c>
      <c r="EG4" s="16"/>
      <c r="EH4" s="16"/>
      <c r="EI4" s="16"/>
      <c r="EJ4" s="16"/>
      <c r="EK4" s="17"/>
      <c r="EL4" s="16" t="s">
        <v>6</v>
      </c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8"/>
      <c r="EZ4" s="18"/>
      <c r="FA4" s="18"/>
      <c r="FB4" s="18"/>
      <c r="FC4" s="16"/>
      <c r="FD4" s="16"/>
      <c r="FE4" s="18"/>
      <c r="FF4" s="18"/>
      <c r="FG4" s="18"/>
      <c r="FH4" s="18"/>
      <c r="FI4" s="16"/>
      <c r="FJ4" s="16"/>
      <c r="FK4" s="18"/>
      <c r="FL4" s="18"/>
      <c r="FM4" s="18"/>
      <c r="FN4" s="18"/>
      <c r="FP4" s="16" t="s">
        <v>7</v>
      </c>
      <c r="FQ4" s="16"/>
      <c r="FR4" s="16"/>
      <c r="FS4" s="16"/>
      <c r="FT4" s="19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N4" s="85" t="s">
        <v>234</v>
      </c>
      <c r="GO4" s="85" t="s">
        <v>235</v>
      </c>
    </row>
    <row r="5" spans="1:197" x14ac:dyDescent="0.25">
      <c r="C5" s="20" t="s">
        <v>8</v>
      </c>
      <c r="D5" s="20"/>
      <c r="E5" s="20"/>
      <c r="F5" s="20"/>
      <c r="G5" s="20"/>
      <c r="H5" s="20"/>
      <c r="I5" s="20"/>
      <c r="J5" s="21"/>
      <c r="K5" s="20" t="s">
        <v>9</v>
      </c>
      <c r="L5" s="20"/>
      <c r="M5" s="20"/>
      <c r="N5" s="20"/>
      <c r="O5" s="20"/>
      <c r="P5" s="20"/>
      <c r="Q5" s="20"/>
      <c r="R5" s="21"/>
      <c r="S5" s="20" t="s">
        <v>10</v>
      </c>
      <c r="T5" s="20"/>
      <c r="U5" s="20"/>
      <c r="V5" s="20"/>
      <c r="W5" s="20"/>
      <c r="X5" s="20"/>
      <c r="Y5" s="20"/>
      <c r="Z5" s="86"/>
      <c r="AA5" s="20" t="s">
        <v>11</v>
      </c>
      <c r="AB5" s="20"/>
      <c r="AC5" s="20"/>
      <c r="AD5" s="20"/>
      <c r="AE5" s="20"/>
      <c r="AF5" s="20"/>
      <c r="AG5" s="20"/>
      <c r="AH5" s="21"/>
      <c r="AI5" s="20" t="s">
        <v>12</v>
      </c>
      <c r="AJ5" s="20"/>
      <c r="AK5" s="20"/>
      <c r="AL5" s="20"/>
      <c r="AM5" s="20"/>
      <c r="AN5" s="20"/>
      <c r="AO5" s="20"/>
      <c r="AP5" s="21"/>
      <c r="AQ5" s="20" t="s">
        <v>13</v>
      </c>
      <c r="AR5" s="20"/>
      <c r="AS5" s="20"/>
      <c r="AT5" s="20"/>
      <c r="AU5" s="20"/>
      <c r="AV5" s="20"/>
      <c r="AW5" s="20"/>
      <c r="AX5" s="21"/>
      <c r="AY5" s="20" t="s">
        <v>14</v>
      </c>
      <c r="AZ5" s="20"/>
      <c r="BA5" s="20"/>
      <c r="BB5" s="20"/>
      <c r="BC5" s="20"/>
      <c r="BD5" s="20"/>
      <c r="BE5" s="20"/>
      <c r="BF5" s="21"/>
      <c r="BG5" s="20" t="s">
        <v>15</v>
      </c>
      <c r="BH5" s="20"/>
      <c r="BI5" s="20"/>
      <c r="BJ5" s="20"/>
      <c r="BK5" s="20"/>
      <c r="BL5" s="21"/>
      <c r="BM5" s="20" t="s">
        <v>16</v>
      </c>
      <c r="BN5" s="20"/>
      <c r="BO5" s="20"/>
      <c r="BP5" s="20"/>
      <c r="BQ5" s="20"/>
      <c r="BR5" s="21"/>
      <c r="BS5" s="87" t="s">
        <v>10</v>
      </c>
      <c r="BT5" s="88"/>
      <c r="BU5" s="88"/>
      <c r="BV5" s="88"/>
      <c r="BW5" s="88"/>
      <c r="BX5" s="88"/>
      <c r="BY5" s="88"/>
      <c r="BZ5" s="88"/>
      <c r="CA5" s="20" t="s">
        <v>11</v>
      </c>
      <c r="CB5" s="20"/>
      <c r="CC5" s="20"/>
      <c r="CD5" s="20"/>
      <c r="CE5" s="20"/>
      <c r="CF5" s="20"/>
      <c r="CG5" s="20"/>
      <c r="CH5" s="21"/>
      <c r="CI5" s="20" t="s">
        <v>12</v>
      </c>
      <c r="CJ5" s="20"/>
      <c r="CK5" s="20"/>
      <c r="CL5" s="20"/>
      <c r="CM5" s="20"/>
      <c r="CN5" s="20"/>
      <c r="CO5" s="20"/>
      <c r="CP5" s="21"/>
      <c r="CQ5" s="20" t="s">
        <v>13</v>
      </c>
      <c r="CR5" s="20"/>
      <c r="CS5" s="20"/>
      <c r="CT5" s="20"/>
      <c r="CU5" s="20"/>
      <c r="CV5" s="20"/>
      <c r="CW5" s="20"/>
      <c r="CX5" s="21"/>
      <c r="CY5" s="20" t="s">
        <v>14</v>
      </c>
      <c r="CZ5" s="20"/>
      <c r="DA5" s="20"/>
      <c r="DB5" s="20"/>
      <c r="DC5" s="20"/>
      <c r="DD5" s="20"/>
      <c r="DE5" s="20"/>
      <c r="DF5" s="21"/>
      <c r="DG5" s="20" t="s">
        <v>16</v>
      </c>
      <c r="DH5" s="20"/>
      <c r="DI5" s="20"/>
      <c r="DJ5" s="20"/>
      <c r="DK5" s="17"/>
      <c r="DL5" s="20" t="s">
        <v>10</v>
      </c>
      <c r="DM5" s="20"/>
      <c r="DN5" s="20"/>
      <c r="DO5" s="20"/>
      <c r="DP5" s="17"/>
      <c r="DQ5" s="20" t="s">
        <v>11</v>
      </c>
      <c r="DR5" s="20"/>
      <c r="DS5" s="20"/>
      <c r="DT5" s="20"/>
      <c r="DU5" s="21"/>
      <c r="DV5" s="20" t="s">
        <v>12</v>
      </c>
      <c r="DW5" s="20"/>
      <c r="DX5" s="20"/>
      <c r="DY5" s="20"/>
      <c r="DZ5" s="21"/>
      <c r="EA5" s="20" t="s">
        <v>13</v>
      </c>
      <c r="EB5" s="20"/>
      <c r="EC5" s="20"/>
      <c r="ED5" s="20"/>
      <c r="EE5" s="21"/>
      <c r="EF5" s="20" t="s">
        <v>17</v>
      </c>
      <c r="EG5" s="20"/>
      <c r="EH5" s="20"/>
      <c r="EI5" s="20"/>
      <c r="EJ5" s="20"/>
      <c r="EK5" s="21"/>
      <c r="EL5" s="20" t="s">
        <v>16</v>
      </c>
      <c r="EM5" s="20"/>
      <c r="EN5" s="20"/>
      <c r="EO5" s="20"/>
      <c r="EP5" s="22"/>
      <c r="EQ5" s="21"/>
      <c r="ER5" s="20" t="s">
        <v>10</v>
      </c>
      <c r="ES5" s="20"/>
      <c r="ET5" s="20"/>
      <c r="EU5" s="20"/>
      <c r="EV5" s="22"/>
      <c r="EW5" s="17"/>
      <c r="EX5" s="20" t="s">
        <v>11</v>
      </c>
      <c r="EY5" s="23"/>
      <c r="EZ5" s="23"/>
      <c r="FA5" s="23"/>
      <c r="FB5" s="23"/>
      <c r="FC5" s="21"/>
      <c r="FD5" s="20" t="s">
        <v>12</v>
      </c>
      <c r="FE5" s="23"/>
      <c r="FF5" s="23"/>
      <c r="FG5" s="23"/>
      <c r="FH5" s="23"/>
      <c r="FI5" s="21"/>
      <c r="FJ5" s="20" t="s">
        <v>13</v>
      </c>
      <c r="FK5" s="23"/>
      <c r="FL5" s="23"/>
      <c r="FM5" s="23"/>
      <c r="FN5" s="23"/>
      <c r="FP5" s="20" t="s">
        <v>18</v>
      </c>
      <c r="FQ5" s="20"/>
      <c r="FR5" s="20"/>
      <c r="FS5" s="20"/>
      <c r="FT5" s="24"/>
      <c r="FV5" s="20" t="s">
        <v>19</v>
      </c>
      <c r="FW5" s="20"/>
      <c r="FX5" s="20"/>
      <c r="FY5" s="20"/>
      <c r="FZ5" s="20"/>
      <c r="GB5" s="20" t="s">
        <v>20</v>
      </c>
      <c r="GC5" s="20"/>
      <c r="GD5" s="20"/>
      <c r="GE5" s="20"/>
      <c r="GF5" s="20"/>
      <c r="GH5" s="20" t="s">
        <v>21</v>
      </c>
      <c r="GI5" s="20"/>
      <c r="GJ5" s="20"/>
      <c r="GK5" s="20"/>
      <c r="GL5" s="20"/>
      <c r="GN5" s="89"/>
      <c r="GO5" s="89"/>
    </row>
    <row r="6" spans="1:197" x14ac:dyDescent="0.25">
      <c r="A6" s="9"/>
      <c r="B6" s="9"/>
      <c r="C6" s="25" t="s">
        <v>22</v>
      </c>
      <c r="D6" s="25" t="s">
        <v>23</v>
      </c>
      <c r="E6" s="25" t="s">
        <v>24</v>
      </c>
      <c r="F6" s="25" t="s">
        <v>25</v>
      </c>
      <c r="G6" s="25" t="s">
        <v>26</v>
      </c>
      <c r="H6" s="25" t="s">
        <v>27</v>
      </c>
      <c r="I6" s="25" t="s">
        <v>15</v>
      </c>
      <c r="J6" s="25"/>
      <c r="K6" s="25" t="s">
        <v>22</v>
      </c>
      <c r="L6" s="25" t="s">
        <v>23</v>
      </c>
      <c r="M6" s="25" t="s">
        <v>24</v>
      </c>
      <c r="N6" s="25" t="s">
        <v>25</v>
      </c>
      <c r="O6" s="25" t="s">
        <v>26</v>
      </c>
      <c r="P6" s="25" t="s">
        <v>27</v>
      </c>
      <c r="Q6" s="25" t="s">
        <v>15</v>
      </c>
      <c r="R6" s="25"/>
      <c r="S6" s="25" t="s">
        <v>22</v>
      </c>
      <c r="T6" s="25" t="s">
        <v>23</v>
      </c>
      <c r="U6" s="25" t="s">
        <v>24</v>
      </c>
      <c r="V6" s="25" t="s">
        <v>25</v>
      </c>
      <c r="W6" s="25" t="s">
        <v>26</v>
      </c>
      <c r="X6" s="25" t="s">
        <v>27</v>
      </c>
      <c r="Y6" s="25" t="s">
        <v>15</v>
      </c>
      <c r="Z6" s="25"/>
      <c r="AA6" s="25" t="s">
        <v>22</v>
      </c>
      <c r="AB6" s="25" t="s">
        <v>23</v>
      </c>
      <c r="AC6" s="25" t="s">
        <v>24</v>
      </c>
      <c r="AD6" s="25" t="s">
        <v>25</v>
      </c>
      <c r="AE6" s="25" t="s">
        <v>26</v>
      </c>
      <c r="AF6" s="25" t="s">
        <v>27</v>
      </c>
      <c r="AG6" s="25" t="s">
        <v>15</v>
      </c>
      <c r="AH6" s="25"/>
      <c r="AI6" s="25" t="s">
        <v>22</v>
      </c>
      <c r="AJ6" s="25" t="s">
        <v>23</v>
      </c>
      <c r="AK6" s="25" t="s">
        <v>24</v>
      </c>
      <c r="AL6" s="25" t="s">
        <v>25</v>
      </c>
      <c r="AM6" s="25" t="s">
        <v>26</v>
      </c>
      <c r="AN6" s="25" t="s">
        <v>27</v>
      </c>
      <c r="AO6" s="25" t="s">
        <v>15</v>
      </c>
      <c r="AP6" s="25"/>
      <c r="AQ6" s="25" t="s">
        <v>22</v>
      </c>
      <c r="AR6" s="25" t="s">
        <v>23</v>
      </c>
      <c r="AS6" s="25" t="s">
        <v>24</v>
      </c>
      <c r="AT6" s="25" t="s">
        <v>25</v>
      </c>
      <c r="AU6" s="25" t="s">
        <v>26</v>
      </c>
      <c r="AV6" s="25" t="s">
        <v>27</v>
      </c>
      <c r="AW6" s="25" t="s">
        <v>15</v>
      </c>
      <c r="AX6" s="25"/>
      <c r="AY6" s="25" t="s">
        <v>22</v>
      </c>
      <c r="AZ6" s="25" t="s">
        <v>23</v>
      </c>
      <c r="BA6" s="25" t="s">
        <v>24</v>
      </c>
      <c r="BB6" s="25" t="s">
        <v>25</v>
      </c>
      <c r="BC6" s="25" t="s">
        <v>26</v>
      </c>
      <c r="BD6" s="25" t="s">
        <v>27</v>
      </c>
      <c r="BE6" s="25" t="s">
        <v>15</v>
      </c>
      <c r="BF6" s="25"/>
      <c r="BG6" s="25" t="s">
        <v>22</v>
      </c>
      <c r="BH6" s="25" t="s">
        <v>23</v>
      </c>
      <c r="BI6" s="25" t="s">
        <v>26</v>
      </c>
      <c r="BJ6" s="25" t="s">
        <v>27</v>
      </c>
      <c r="BK6" s="25" t="s">
        <v>15</v>
      </c>
      <c r="BL6" s="25"/>
      <c r="BM6" s="25" t="s">
        <v>22</v>
      </c>
      <c r="BN6" s="25" t="s">
        <v>23</v>
      </c>
      <c r="BO6" s="25" t="s">
        <v>26</v>
      </c>
      <c r="BP6" s="25" t="s">
        <v>27</v>
      </c>
      <c r="BQ6" s="25" t="s">
        <v>15</v>
      </c>
      <c r="BR6" s="25"/>
      <c r="BS6" s="25" t="s">
        <v>22</v>
      </c>
      <c r="BT6" s="25" t="s">
        <v>23</v>
      </c>
      <c r="BU6" s="25" t="s">
        <v>24</v>
      </c>
      <c r="BV6" s="25" t="s">
        <v>25</v>
      </c>
      <c r="BW6" s="25" t="s">
        <v>26</v>
      </c>
      <c r="BX6" s="25" t="s">
        <v>27</v>
      </c>
      <c r="BY6" s="25" t="s">
        <v>15</v>
      </c>
      <c r="BZ6" s="25"/>
      <c r="CA6" s="25" t="s">
        <v>22</v>
      </c>
      <c r="CB6" s="25" t="s">
        <v>23</v>
      </c>
      <c r="CC6" s="25" t="s">
        <v>24</v>
      </c>
      <c r="CD6" s="25" t="s">
        <v>25</v>
      </c>
      <c r="CE6" s="25" t="s">
        <v>26</v>
      </c>
      <c r="CF6" s="25" t="s">
        <v>27</v>
      </c>
      <c r="CG6" s="25" t="s">
        <v>15</v>
      </c>
      <c r="CH6" s="25"/>
      <c r="CI6" s="25" t="s">
        <v>22</v>
      </c>
      <c r="CJ6" s="25" t="s">
        <v>23</v>
      </c>
      <c r="CK6" s="25" t="s">
        <v>24</v>
      </c>
      <c r="CL6" s="25" t="s">
        <v>25</v>
      </c>
      <c r="CM6" s="25" t="s">
        <v>26</v>
      </c>
      <c r="CN6" s="25" t="s">
        <v>27</v>
      </c>
      <c r="CO6" s="25" t="s">
        <v>15</v>
      </c>
      <c r="CP6" s="25"/>
      <c r="CQ6" s="25" t="s">
        <v>22</v>
      </c>
      <c r="CR6" s="25" t="s">
        <v>23</v>
      </c>
      <c r="CS6" s="25" t="s">
        <v>24</v>
      </c>
      <c r="CT6" s="25" t="s">
        <v>25</v>
      </c>
      <c r="CU6" s="25" t="s">
        <v>26</v>
      </c>
      <c r="CV6" s="25" t="s">
        <v>27</v>
      </c>
      <c r="CW6" s="25" t="s">
        <v>15</v>
      </c>
      <c r="CX6" s="25"/>
      <c r="CY6" s="25" t="s">
        <v>22</v>
      </c>
      <c r="CZ6" s="25" t="s">
        <v>23</v>
      </c>
      <c r="DA6" s="25" t="s">
        <v>24</v>
      </c>
      <c r="DB6" s="25" t="s">
        <v>25</v>
      </c>
      <c r="DC6" s="25" t="s">
        <v>26</v>
      </c>
      <c r="DD6" s="25" t="s">
        <v>27</v>
      </c>
      <c r="DE6" s="25" t="s">
        <v>15</v>
      </c>
      <c r="DF6" s="25"/>
      <c r="DG6" s="25" t="s">
        <v>22</v>
      </c>
      <c r="DH6" s="25" t="s">
        <v>23</v>
      </c>
      <c r="DI6" s="25" t="s">
        <v>26</v>
      </c>
      <c r="DJ6" s="25" t="s">
        <v>27</v>
      </c>
      <c r="DK6" s="25"/>
      <c r="DL6" s="25" t="s">
        <v>22</v>
      </c>
      <c r="DM6" s="25" t="s">
        <v>23</v>
      </c>
      <c r="DN6" s="25" t="s">
        <v>26</v>
      </c>
      <c r="DO6" s="25" t="s">
        <v>27</v>
      </c>
      <c r="DP6" s="25"/>
      <c r="DQ6" s="25" t="s">
        <v>22</v>
      </c>
      <c r="DR6" s="25" t="s">
        <v>23</v>
      </c>
      <c r="DS6" s="25" t="s">
        <v>26</v>
      </c>
      <c r="DT6" s="25" t="s">
        <v>27</v>
      </c>
      <c r="DU6" s="25"/>
      <c r="DV6" s="25" t="s">
        <v>22</v>
      </c>
      <c r="DW6" s="25" t="s">
        <v>23</v>
      </c>
      <c r="DX6" s="25" t="s">
        <v>26</v>
      </c>
      <c r="DY6" s="25" t="s">
        <v>27</v>
      </c>
      <c r="DZ6" s="25"/>
      <c r="EA6" s="25" t="s">
        <v>22</v>
      </c>
      <c r="EB6" s="25" t="s">
        <v>23</v>
      </c>
      <c r="EC6" s="25" t="s">
        <v>26</v>
      </c>
      <c r="ED6" s="25" t="s">
        <v>27</v>
      </c>
      <c r="EE6" s="25"/>
      <c r="EF6" s="25" t="s">
        <v>28</v>
      </c>
      <c r="EG6" s="25" t="s">
        <v>29</v>
      </c>
      <c r="EH6" s="25" t="s">
        <v>30</v>
      </c>
      <c r="EI6" s="25" t="s">
        <v>31</v>
      </c>
      <c r="EJ6" s="25" t="s">
        <v>32</v>
      </c>
      <c r="EK6" s="25"/>
      <c r="EL6" s="25" t="s">
        <v>22</v>
      </c>
      <c r="EM6" s="25" t="s">
        <v>23</v>
      </c>
      <c r="EN6" s="25" t="s">
        <v>26</v>
      </c>
      <c r="EO6" s="25" t="s">
        <v>27</v>
      </c>
      <c r="EP6" s="25" t="s">
        <v>15</v>
      </c>
      <c r="EQ6" s="25"/>
      <c r="ER6" s="25" t="s">
        <v>22</v>
      </c>
      <c r="ES6" s="25" t="s">
        <v>23</v>
      </c>
      <c r="ET6" s="25" t="s">
        <v>26</v>
      </c>
      <c r="EU6" s="25" t="s">
        <v>27</v>
      </c>
      <c r="EV6" s="25" t="s">
        <v>15</v>
      </c>
      <c r="EW6" s="25"/>
      <c r="EX6" s="25" t="s">
        <v>22</v>
      </c>
      <c r="EY6" s="26" t="s">
        <v>23</v>
      </c>
      <c r="EZ6" s="26" t="s">
        <v>26</v>
      </c>
      <c r="FA6" s="26" t="s">
        <v>27</v>
      </c>
      <c r="FB6" s="26" t="s">
        <v>15</v>
      </c>
      <c r="FC6" s="25"/>
      <c r="FD6" s="25" t="s">
        <v>22</v>
      </c>
      <c r="FE6" s="26" t="s">
        <v>23</v>
      </c>
      <c r="FF6" s="26" t="s">
        <v>26</v>
      </c>
      <c r="FG6" s="26" t="s">
        <v>27</v>
      </c>
      <c r="FH6" s="26" t="s">
        <v>15</v>
      </c>
      <c r="FI6" s="25"/>
      <c r="FJ6" s="25" t="s">
        <v>22</v>
      </c>
      <c r="FK6" s="26" t="s">
        <v>23</v>
      </c>
      <c r="FL6" s="26" t="s">
        <v>26</v>
      </c>
      <c r="FM6" s="26" t="s">
        <v>27</v>
      </c>
      <c r="FN6" s="26" t="s">
        <v>15</v>
      </c>
      <c r="FO6" s="9"/>
      <c r="FP6" s="21" t="s">
        <v>28</v>
      </c>
      <c r="FQ6" s="21" t="s">
        <v>29</v>
      </c>
      <c r="FR6" s="21" t="s">
        <v>30</v>
      </c>
      <c r="FS6" s="21" t="s">
        <v>33</v>
      </c>
      <c r="FT6" s="27" t="s">
        <v>15</v>
      </c>
      <c r="FU6" s="21"/>
      <c r="FV6" s="21" t="s">
        <v>28</v>
      </c>
      <c r="FW6" s="21" t="s">
        <v>29</v>
      </c>
      <c r="FX6" s="21" t="s">
        <v>30</v>
      </c>
      <c r="FY6" s="21" t="s">
        <v>33</v>
      </c>
      <c r="FZ6" s="21" t="s">
        <v>15</v>
      </c>
      <c r="GB6" s="21" t="s">
        <v>28</v>
      </c>
      <c r="GC6" s="21" t="s">
        <v>29</v>
      </c>
      <c r="GD6" s="21" t="s">
        <v>30</v>
      </c>
      <c r="GE6" s="21" t="s">
        <v>33</v>
      </c>
      <c r="GF6" s="21" t="s">
        <v>15</v>
      </c>
      <c r="GG6" s="21"/>
      <c r="GH6" s="21" t="s">
        <v>28</v>
      </c>
      <c r="GI6" s="21" t="s">
        <v>29</v>
      </c>
      <c r="GJ6" s="21" t="s">
        <v>30</v>
      </c>
      <c r="GK6" s="21" t="s">
        <v>33</v>
      </c>
      <c r="GL6" s="21" t="s">
        <v>15</v>
      </c>
    </row>
    <row r="7" spans="1:197" x14ac:dyDescent="0.25">
      <c r="A7" s="28" t="s">
        <v>39</v>
      </c>
      <c r="B7" s="28"/>
      <c r="C7" s="11">
        <f t="shared" ref="C7:I11" si="0">IF(SUM(S7,AA7,AI7,AY7)&lt;=0,"-",SUM(S7,AA7,AI7,AQ7,AY7))</f>
        <v>2276.5360000000001</v>
      </c>
      <c r="D7" s="11">
        <f t="shared" ref="D7:I7" si="1">IF(SUM(T7,AB7,AJ7,AR7,AZ7)&lt;=0,"-",SUM(T7,AB7,AJ7,AR7,AZ7))</f>
        <v>231.678</v>
      </c>
      <c r="E7" s="11" t="str">
        <f t="shared" si="1"/>
        <v>-</v>
      </c>
      <c r="F7" s="11" t="str">
        <f t="shared" si="1"/>
        <v>-</v>
      </c>
      <c r="G7" s="11">
        <f t="shared" si="1"/>
        <v>18.730000000000004</v>
      </c>
      <c r="H7" s="11">
        <f t="shared" si="1"/>
        <v>0.3</v>
      </c>
      <c r="I7" s="11">
        <f t="shared" si="1"/>
        <v>2527.2440000000001</v>
      </c>
      <c r="K7" s="11">
        <f>IF(SUM(S7,AA7,AI7,AQ7)&lt;=0,"-",SUM(S7,AA7,AI7,AQ7))</f>
        <v>2276.5360000000001</v>
      </c>
      <c r="L7" s="11">
        <f t="shared" ref="L7:Q7" si="2">IF(SUM(T7,AB7,AJ7,AR7)&lt;=0,"-",SUM(T7,AB7,AJ7,AR7))</f>
        <v>231.678</v>
      </c>
      <c r="M7" s="11" t="str">
        <f t="shared" si="2"/>
        <v>-</v>
      </c>
      <c r="N7" s="11" t="str">
        <f t="shared" si="2"/>
        <v>-</v>
      </c>
      <c r="O7" s="11">
        <f t="shared" si="2"/>
        <v>18.730000000000004</v>
      </c>
      <c r="P7" s="11">
        <f t="shared" si="2"/>
        <v>0.3</v>
      </c>
      <c r="Q7" s="11">
        <f t="shared" si="2"/>
        <v>2527.2440000000001</v>
      </c>
      <c r="S7" s="29">
        <v>299.392</v>
      </c>
      <c r="T7" s="29">
        <v>15.648</v>
      </c>
      <c r="U7" s="30" t="s">
        <v>34</v>
      </c>
      <c r="V7" s="30" t="s">
        <v>34</v>
      </c>
      <c r="W7" s="29">
        <v>3.0449999999999999</v>
      </c>
      <c r="X7" s="29">
        <v>0</v>
      </c>
      <c r="Y7" s="31">
        <f t="shared" ref="Y7:Y11" si="3">SUM(S7:T7,W7:X7)</f>
        <v>318.08500000000004</v>
      </c>
      <c r="Z7" s="31"/>
      <c r="AA7" s="29">
        <f>90.64+228.6+0.743</f>
        <v>319.983</v>
      </c>
      <c r="AB7" s="29">
        <f>11.383+2.43+0.005</f>
        <v>13.818</v>
      </c>
      <c r="AC7" s="30" t="s">
        <v>34</v>
      </c>
      <c r="AD7" s="30" t="s">
        <v>34</v>
      </c>
      <c r="AE7" s="30">
        <f>2.076+0.218+0.002</f>
        <v>2.2959999999999998</v>
      </c>
      <c r="AF7" s="29">
        <v>0</v>
      </c>
      <c r="AG7" s="31">
        <f t="shared" ref="AG7:AG11" si="4">SUM(AA7:AB7,AE7:AF7)</f>
        <v>336.09699999999998</v>
      </c>
      <c r="AH7" s="31"/>
      <c r="AI7" s="32">
        <f>406.194+232.598+8.976</f>
        <v>647.76800000000003</v>
      </c>
      <c r="AJ7" s="32">
        <f>122.319+44.942+4.222</f>
        <v>171.483</v>
      </c>
      <c r="AK7" s="33" t="s">
        <v>34</v>
      </c>
      <c r="AL7" s="33" t="s">
        <v>34</v>
      </c>
      <c r="AM7" s="32">
        <f>11.499+0.807+0.285</f>
        <v>12.591000000000001</v>
      </c>
      <c r="AN7" s="32">
        <f>0.296+0.003+0.001</f>
        <v>0.3</v>
      </c>
      <c r="AO7" s="31">
        <f t="shared" ref="AO7:AO11" si="5">SUM(AI7:AJ7,AM7:AN7)</f>
        <v>832.14199999999994</v>
      </c>
      <c r="AP7" s="31"/>
      <c r="AQ7" s="32">
        <f>56.452+133.114+3.41+71.693+744.724</f>
        <v>1009.393</v>
      </c>
      <c r="AR7" s="32">
        <f>12.445+5.326+0.676+5.367+6.915</f>
        <v>30.728999999999999</v>
      </c>
      <c r="AS7" s="33" t="s">
        <v>34</v>
      </c>
      <c r="AT7" s="33" t="s">
        <v>34</v>
      </c>
      <c r="AU7" s="32">
        <f>0.519+0.03+0.008+0.009+0.232</f>
        <v>0.79800000000000004</v>
      </c>
      <c r="AV7" s="32">
        <v>0</v>
      </c>
      <c r="AW7" s="31">
        <f t="shared" ref="AW7:AW11" si="6">SUM(AQ7:AR7,AU7:AV7)</f>
        <v>1040.92</v>
      </c>
      <c r="AX7" s="31"/>
      <c r="AY7" s="30" t="s">
        <v>34</v>
      </c>
      <c r="AZ7" s="30" t="s">
        <v>34</v>
      </c>
      <c r="BA7" s="30" t="s">
        <v>34</v>
      </c>
      <c r="BB7" s="30" t="s">
        <v>34</v>
      </c>
      <c r="BC7" s="30" t="s">
        <v>34</v>
      </c>
      <c r="BD7" s="30" t="s">
        <v>34</v>
      </c>
      <c r="BE7" s="31">
        <f t="shared" ref="BE7:BE11" si="7">SUM(AY7:AZ7,BC7:BD7)</f>
        <v>0</v>
      </c>
      <c r="BF7" s="31"/>
      <c r="BG7" s="11">
        <f>IF(SUM(BS7,CA7,CI7,CY7,CQ7)&lt;=0,"-",SUM(BS7,CA7,CI7,CY7,CQ7))</f>
        <v>2249</v>
      </c>
      <c r="BH7" s="11">
        <f>IF(SUM(BT7,CB7,CJ7,CZ7,CR7)&lt;=0,"-",SUM(BT7,CB7,CJ7,CZ7,CR7))</f>
        <v>5051</v>
      </c>
      <c r="BI7" s="11">
        <f>IF(SUM(BW7,CE7,CM7,DC7,CU7)&lt;=0,"-",SUM(BW7,CE7,CM7,DC7,CU7))</f>
        <v>6866</v>
      </c>
      <c r="BJ7" s="11">
        <f>IF(SUM(BX7,CF7,CN7,DD7,CV7)&lt;=0,"-",SUM(BX7,CF7,CN7,DD7,CV7))</f>
        <v>99</v>
      </c>
      <c r="BK7" s="11">
        <f>IF(SUM(BY7,CG7,CO7,DE7,CW7)&lt;=0,"-",SUM(BY7,CG7,CO7,DE7,CW7))</f>
        <v>14265</v>
      </c>
      <c r="BM7" s="11">
        <f>IF(SUM(BS7,CA7,CI7,CQ7)&lt;=0,"-",SUM(BS7,CA7,CI7,CQ7))</f>
        <v>2249</v>
      </c>
      <c r="BN7" s="11">
        <f>IF(SUM(BT7,CB7,CJ7,CR7)&lt;=0,"-",SUM(BT7,CB7,CJ7,CR7))</f>
        <v>5051</v>
      </c>
      <c r="BO7" s="11">
        <f>IF(SUM(BW7,CE7,CM7,CU7)&lt;=0,"-",SUM(BW7,CE7,CM7,CU7))</f>
        <v>6866</v>
      </c>
      <c r="BP7" s="11">
        <f>IF(SUM(BX7,CF7,CN7,CV7)&lt;=0,"-",SUM(BX7,CF7,CN7,CV7))</f>
        <v>99</v>
      </c>
      <c r="BQ7" s="11">
        <f>IF(SUM(BY7,CG7,CO7,CW7)&lt;=0,"-",SUM(BY7,CG7,CO7,CW7))</f>
        <v>14265</v>
      </c>
      <c r="BS7" s="29">
        <v>102</v>
      </c>
      <c r="BT7" s="29">
        <v>298</v>
      </c>
      <c r="BU7" s="30" t="s">
        <v>34</v>
      </c>
      <c r="BV7" s="30" t="s">
        <v>34</v>
      </c>
      <c r="BW7" s="29">
        <v>406</v>
      </c>
      <c r="BX7" s="29">
        <v>0</v>
      </c>
      <c r="BY7" s="31">
        <f t="shared" ref="BY7:BY8" si="8">SUM(BS7:BT7,BW7:BX7)</f>
        <v>806</v>
      </c>
      <c r="BZ7" s="31"/>
      <c r="CA7" s="29">
        <f>795+26</f>
        <v>821</v>
      </c>
      <c r="CB7" s="29">
        <f>1817+3</f>
        <v>1820</v>
      </c>
      <c r="CC7" s="30" t="s">
        <v>34</v>
      </c>
      <c r="CD7" s="30" t="s">
        <v>34</v>
      </c>
      <c r="CE7" s="30">
        <f>983+0</f>
        <v>983</v>
      </c>
      <c r="CF7" s="29">
        <v>0</v>
      </c>
      <c r="CG7" s="31">
        <f>SUM(CA7:CB7,CE7:CF7)</f>
        <v>3624</v>
      </c>
      <c r="CH7" s="31"/>
      <c r="CI7" s="29">
        <f>966+186</f>
        <v>1152</v>
      </c>
      <c r="CJ7" s="29">
        <f>2306+382</f>
        <v>2688</v>
      </c>
      <c r="CK7" s="33" t="s">
        <v>34</v>
      </c>
      <c r="CL7" s="33" t="s">
        <v>34</v>
      </c>
      <c r="CM7" s="29">
        <f>5166+104</f>
        <v>5270</v>
      </c>
      <c r="CN7" s="29">
        <v>99</v>
      </c>
      <c r="CO7" s="31">
        <f t="shared" ref="CO7:CO8" si="9">SUM(CI7:CJ7,CM7:CN7)</f>
        <v>9209</v>
      </c>
      <c r="CP7" s="31"/>
      <c r="CQ7" s="29">
        <f>43+9+26+96</f>
        <v>174</v>
      </c>
      <c r="CR7" s="29">
        <f>132+27+23+63</f>
        <v>245</v>
      </c>
      <c r="CS7" s="34" t="s">
        <v>34</v>
      </c>
      <c r="CT7" s="34" t="s">
        <v>34</v>
      </c>
      <c r="CU7" s="29">
        <f>114+4+5+84</f>
        <v>207</v>
      </c>
      <c r="CV7" s="29">
        <v>0</v>
      </c>
      <c r="CW7" s="31">
        <f t="shared" ref="CW7:CW8" si="10">SUM(CQ7:CR7,CU7:CV7)</f>
        <v>626</v>
      </c>
      <c r="CX7" s="31"/>
      <c r="CY7" s="30" t="s">
        <v>34</v>
      </c>
      <c r="CZ7" s="30" t="s">
        <v>34</v>
      </c>
      <c r="DA7" s="30" t="s">
        <v>34</v>
      </c>
      <c r="DB7" s="30" t="s">
        <v>34</v>
      </c>
      <c r="DC7" s="30" t="s">
        <v>34</v>
      </c>
      <c r="DD7" s="30" t="s">
        <v>34</v>
      </c>
      <c r="DE7" s="31">
        <f>SUM(CY7:CZ7,DC7:DD7)</f>
        <v>0</v>
      </c>
      <c r="DF7" s="31"/>
      <c r="DG7" s="35">
        <f>IF(ISERROR(K7/$Q7),"-",IF(K7/$Q7&lt;=0,"-",K7/$Q7))</f>
        <v>0.90079786518436678</v>
      </c>
      <c r="DH7" s="35">
        <f>IF(ISERROR(L7/$Q7),"-",IF(L7/$Q7&lt;=0,"-",L7/$Q7))</f>
        <v>9.1672193108382094E-2</v>
      </c>
      <c r="DI7" s="35">
        <f>IF(ISERROR(O7/$Q7),"-",IF(O7/$Q7&lt;=0,"-",O7/$Q7))</f>
        <v>7.4112353219554592E-3</v>
      </c>
      <c r="DJ7" s="36">
        <f t="shared" ref="DJ7:DJ8" si="11">IF(ISERROR(P7/$Q7),"-",IF(P7/$Q7&lt;=0,"-",P7/$Q7))</f>
        <v>1.1870638529560263E-4</v>
      </c>
      <c r="DK7" s="31"/>
      <c r="DL7" s="35">
        <f t="shared" ref="DL7:DM8" si="12">IF(ISERROR(S7/$Y7),"-",IF(S7/$Y7&lt;=0,"-",S7/$Y7))</f>
        <v>0.94123268937548132</v>
      </c>
      <c r="DM7" s="35">
        <f t="shared" si="12"/>
        <v>4.9194397723878833E-2</v>
      </c>
      <c r="DN7" s="35">
        <f t="shared" ref="DN7:DO8" si="13">IF(ISERROR(W7/$Y7),"-",IF(W7/$Y7&lt;=0,"-",W7/$Y7))</f>
        <v>9.5729129006397653E-3</v>
      </c>
      <c r="DO7" s="35" t="str">
        <f t="shared" si="13"/>
        <v>-</v>
      </c>
      <c r="DP7" s="31"/>
      <c r="DQ7" s="35">
        <f t="shared" ref="DQ7:DR8" si="14">IF(ISERROR(AA7/$AG7),"-",IF(AA7/$AG7&lt;=0,"-",AA7/$AG7))</f>
        <v>0.95205550778495496</v>
      </c>
      <c r="DR7" s="35">
        <f t="shared" si="14"/>
        <v>4.111313103062509E-2</v>
      </c>
      <c r="DS7" s="35">
        <f t="shared" ref="DS7:DT8" si="15">IF(ISERROR(AE7/$AG7),"-",IF(AE7/$AG7&lt;=0,"-",AE7/$AG7))</f>
        <v>6.8313611844199743E-3</v>
      </c>
      <c r="DT7" s="35" t="str">
        <f t="shared" si="15"/>
        <v>-</v>
      </c>
      <c r="DU7" s="31"/>
      <c r="DV7" s="35">
        <f t="shared" ref="DV7:DW8" si="16">IF(ISERROR(AI7/$AO7),"-",IF(AI7/$AO7&lt;=0,"-",AI7/$AO7))</f>
        <v>0.77843444988956223</v>
      </c>
      <c r="DW7" s="35">
        <f t="shared" si="16"/>
        <v>0.20607420368158322</v>
      </c>
      <c r="DX7" s="35">
        <f t="shared" ref="DX7:DY8" si="17">IF(ISERROR(AM7/$AM7),"-",IF(AM7/$AO7&lt;=0,"-",AM7/$AO7))</f>
        <v>1.5130831036049138E-2</v>
      </c>
      <c r="DY7" s="35">
        <f t="shared" si="17"/>
        <v>3.6051539280555485E-4</v>
      </c>
      <c r="DZ7" s="31"/>
      <c r="EA7" s="35">
        <f>IF(ISERROR(AQ7/$AW7),"-",IF(AQ7/$AW7&lt;=0,"-",AQ7/$AW7))</f>
        <v>0.96971236982669173</v>
      </c>
      <c r="EB7" s="35">
        <f>IF(ISERROR(AR7/$AW7),"-",IF(AR7/$AW7&lt;=0,"-",AR7/$AW7))</f>
        <v>2.9521000653268261E-2</v>
      </c>
      <c r="EC7" s="35">
        <f>IF(ISERROR(AU7/$AW7),"-",IF(AU7/$AW7&lt;=0,"-",AU7/$AW7))</f>
        <v>7.6662952003996466E-4</v>
      </c>
      <c r="ED7" s="35" t="str">
        <f>IF(ISERROR(AV7/$AW7),"-",IF(AV7/$AW7&lt;=0,"-",AV7/$AW7))</f>
        <v>-</v>
      </c>
      <c r="EE7" s="31"/>
      <c r="EF7" s="37" t="str">
        <f>IF(ISERROR(V7/T7),"-",V7/T7)</f>
        <v>-</v>
      </c>
      <c r="EG7" s="37" t="str">
        <f>IF(ISERROR(AD7/AB7),"-",AD7/AB7)</f>
        <v>-</v>
      </c>
      <c r="EH7" s="37" t="str">
        <f>IF(ISERROR(AL7/AJ7),"-",AL7/AJ7)</f>
        <v>-</v>
      </c>
      <c r="EI7" s="37" t="str">
        <f>IF(ISERROR(AT7/AR7),"-",AT7/AR7)</f>
        <v>-</v>
      </c>
      <c r="EJ7" s="37" t="str">
        <f>IF(ISERROR(N7/L7),"-",N7/L7)</f>
        <v>-</v>
      </c>
      <c r="EK7" s="31"/>
      <c r="EL7" s="38">
        <f>IF(ISERROR(BM7/K7/1000),"-",IF((BM7/K7/1000)&lt;=0,"-",BM7/K7/1000))</f>
        <v>9.8790443023962708E-4</v>
      </c>
      <c r="EM7" s="39">
        <f>IF(ISERROR(BN7/L7/1000),"-",IF((BN7/L7/1000)&lt;=0,"-",BN7/L7/1000))</f>
        <v>2.1801811134419324E-2</v>
      </c>
      <c r="EN7" s="40">
        <f>IF(ISERROR(BO7/O7/1000),"-",IF((BO7/O7/1000)&lt;=0,"-",BO7/O7/1000))</f>
        <v>0.3665776828617191</v>
      </c>
      <c r="EO7" s="38">
        <f>IF(ISERROR(BP7/P7/1000),"-",IF((BP7/P7/1000)&lt;=0,"-",BP7/P7/1000))</f>
        <v>0.33</v>
      </c>
      <c r="EP7" s="38">
        <f>IF(ISERROR(BQ7/Q7/1000),"-",IF((BQ7/Q7/1000)&lt;=0,"-",BQ7/Q7/1000))</f>
        <v>5.6444886208059054E-3</v>
      </c>
      <c r="ER7" s="38">
        <f>IF(OR(BS7=0,S7=0),"-",IF(ISERROR(BS7/S7/1000),"-",IF((BS7/S7/1000)&lt;=0,"-",BS7/S7/1000)))</f>
        <v>3.4069046601111586E-4</v>
      </c>
      <c r="ES7" s="41">
        <f>IF(OR(BT7=0,T7=0),"-",IF(ISERROR(BT7/T7/1000),"-",IF((BT7/T7/1000)&lt;=0,"-",BT7/T7/1000)))</f>
        <v>1.9043967280163599E-2</v>
      </c>
      <c r="ET7" s="41">
        <f>IF(OR(BW7=0,W7=0),"-",IF(ISERROR(BW7/W7/1000),"-",IF((BW7/W7/1000)&lt;=0,"-",BW7/W7/1000)))</f>
        <v>0.13333333333333333</v>
      </c>
      <c r="EU7" s="41" t="str">
        <f>IF(OR(BX7=0,X7=0),"-",IF(ISERROR(BX7/X7/1000),"-",IF((BX7/X7/1000)&lt;=0,"-",BX7/X7/1000)))</f>
        <v>-</v>
      </c>
      <c r="EV7" s="41">
        <f>IF(OR(BY7=0,Y7=0),"-",IF(ISERROR(BY7/Y7/1000),"-",IF((BY7/Y7/1000)&lt;=0,"-",BY7/Y7/1000)))</f>
        <v>2.5339138909411005E-3</v>
      </c>
      <c r="EW7" s="31"/>
      <c r="EX7" s="38">
        <f>IF(OR(CA7=0,AA7=0),"-",IF(ISERROR(CA7/AA7/1000),"-",IF((CA7/AA7/1000)&lt;=0,"-",CA7/AA7/1000)))</f>
        <v>2.5657613060693849E-3</v>
      </c>
      <c r="EY7" s="41">
        <f>IF(OR(CB7=0,AB7=0),"-",IF(ISERROR(CB7/AB7/1000),"-",IF((CB7/AB7/1000)&lt;=0,"-",CB7/AB7/1000)))</f>
        <v>0.13171225937183384</v>
      </c>
      <c r="EZ7" s="41">
        <f>IF(OR(CE7=0,AE7=0),"-",IF(ISERROR(CE7/AE7/1000),"-",IF((CE7/AE7/1000)&lt;=0,"-",CE7/AE7/1000)))</f>
        <v>0.42813588850174222</v>
      </c>
      <c r="FA7" s="41" t="str">
        <f>IF(OR(CF7=0,AF7=0),"-",IF(ISERROR(CF7/AF7/1000),"-",IF((CF7/AF7/1000)&lt;=0,"-",CF7/AF7/1000)))</f>
        <v>-</v>
      </c>
      <c r="FB7" s="41">
        <f>IF(OR(CG7=0,AG7=0),"-",IF(ISERROR(CG7/AG7/1000),"-",IF((CG7/AG7/1000)&lt;=0,"-",CG7/AG7/1000)))</f>
        <v>1.0782601451366719E-2</v>
      </c>
      <c r="FC7" s="31"/>
      <c r="FD7" s="38">
        <f>IF(OR(CI7=0,AI7=0),"-",IF(ISERROR(CI7/AI7/1000),"-",IF((CI7/AI7/1000)&lt;=0,"-",CI7/AI7/1000)))</f>
        <v>1.7784144940781266E-3</v>
      </c>
      <c r="FE7" s="41">
        <f>IF(OR(CJ7=0,AJ7=0),"-",IF(ISERROR(CJ7/AJ7/1000),"-",IF((CJ7/AJ7/1000)&lt;=0,"-",CJ7/AJ7/1000)))</f>
        <v>1.5675023180140305E-2</v>
      </c>
      <c r="FF7" s="41">
        <f>IF(OR(CM7=0,AM7=0),"-",IF(ISERROR(CM7/AM7/1000),"-",IF((CM7/AM7/1000)&lt;=0,"-",CM7/AM7/1000)))</f>
        <v>0.41855293463585097</v>
      </c>
      <c r="FG7" s="41">
        <f>IF(OR(CN7=0,AN7=0),"-",IF(ISERROR(CN7/AN7/1000),"-",IF((CN7/AN7/1000)&lt;=0,"-",CN7/AN7/1000)))</f>
        <v>0.33</v>
      </c>
      <c r="FH7" s="41">
        <f>IF(OR(CO7=0,AO7=0),"-",IF(ISERROR(CO7/AO7/1000),"-",IF((CO7/AO7/1000)&lt;=0,"-",CO7/AO7/1000)))</f>
        <v>1.1066620841154515E-2</v>
      </c>
      <c r="FI7" s="31"/>
      <c r="FJ7" s="38">
        <f>IF(OR(CQ7=0,AQ7=0),"-",IF(ISERROR(CQ7/AQ7/1000),"-",IF((CQ7/AQ7/1000)&lt;=0,"-",CQ7/AQ7/1000)))</f>
        <v>1.723808268929941E-4</v>
      </c>
      <c r="FK7" s="38">
        <f>IF(OR(CR7=0,AR7=0),"-",IF(ISERROR(CR7/AR7/1000),"-",IF((CR7/AR7/1000)&lt;=0,"-",CR7/AR7/1000)))</f>
        <v>7.9729245989130799E-3</v>
      </c>
      <c r="FL7" s="38">
        <f>IF(OR(CU7=0,AU7=0),"-",IF(ISERROR(CU7/AU7/1000),"-",IF((CU7/AU7/1000)&lt;=0,"-",CU7/AU7/1000)))</f>
        <v>0.25939849624060152</v>
      </c>
      <c r="FM7" s="38" t="str">
        <f>IF(OR(CV7=0,AV7=0),"-",IF(ISERROR(CV7/AV7/1000),"-",IF((CV7/AV7/1000)&lt;=0,"-",CV7/AV7/1000)))</f>
        <v>-</v>
      </c>
      <c r="FN7" s="38">
        <f>IF(OR(CW7=0,AW7=0),"-",IF(ISERROR(CW7/AW7/1000),"-",IF((CW7/AW7/1000)&lt;=0,"-",CW7/AW7/1000)))</f>
        <v>6.0139107712408246E-4</v>
      </c>
      <c r="FP7" s="30" t="s">
        <v>34</v>
      </c>
      <c r="FQ7" s="30" t="s">
        <v>34</v>
      </c>
      <c r="FR7" s="30">
        <v>1371</v>
      </c>
      <c r="FS7" s="30" t="s">
        <v>34</v>
      </c>
      <c r="FT7" s="42">
        <v>2756</v>
      </c>
      <c r="FV7" s="43" t="str">
        <f>IF(ISERROR(FP7/$Y7/1000),"-",IF(FP7/$Y7/1000=0,"-",FP7/$Y7/1000))</f>
        <v>-</v>
      </c>
      <c r="FW7" s="43" t="str">
        <f>IF(ISERROR(FQ7/$AG7/1000),"-",IF(FQ7/$AG7/1000=0,"-",FQ7/$AG7/1000))</f>
        <v>-</v>
      </c>
      <c r="FX7" s="43">
        <f>IF(ISERROR(FR7/$AO7/1000),"-",IF(FR7/$AO7/1000=0,"-",FR7/$AO7/1000))</f>
        <v>1.6475553451213857E-3</v>
      </c>
      <c r="FY7" s="43" t="str">
        <f>IF(ISERROR(FS7/$AW7/1000),"-",IF(FS7/$AW7/1000=0,"-",FS7/$AW7/1000))</f>
        <v>-</v>
      </c>
      <c r="FZ7" s="43">
        <f>IF(ISERROR(FT7/$Q7/1000),"-",IF(FT7/$Q7/1000=0,"-",FT7/$Q7/1000))</f>
        <v>1.0905159929156031E-3</v>
      </c>
      <c r="GB7" s="30" t="s">
        <v>34</v>
      </c>
      <c r="GC7" s="30" t="s">
        <v>34</v>
      </c>
      <c r="GD7" s="30">
        <v>1452</v>
      </c>
      <c r="GE7" s="30" t="s">
        <v>34</v>
      </c>
      <c r="GF7" s="44">
        <v>2797</v>
      </c>
      <c r="GH7" s="43" t="str">
        <f>IF(ISERROR(GB7/$Y7/1000),"-",IF(GB7/$Y7/1000=0,"-",GB7/$Y7/1000))</f>
        <v>-</v>
      </c>
      <c r="GI7" s="43" t="str">
        <f>IF(ISERROR(GC7/$AG7/1000),"-",IF(GC7/$AG7/1000=0,"-",GC7/$AG7/1000))</f>
        <v>-</v>
      </c>
      <c r="GJ7" s="43">
        <f>IF(ISERROR(GD7/$AO7/1000),"-",IF(GD7/$AO7/1000=0,"-",GD7/$AO7/1000))</f>
        <v>1.7448945011788854E-3</v>
      </c>
      <c r="GK7" s="43" t="str">
        <f>IF(ISERROR(GE7/$AW7/1000),"-",IF(GE7/$AW7/1000=0,"-",GE7/$AW7/1000))</f>
        <v>-</v>
      </c>
      <c r="GL7" s="43">
        <f>IF(ISERROR(GF7/$Q7/1000),"-",IF(GF7/$Q7/1000=0,"-",GF7/$Q7/1000))</f>
        <v>1.1067391989060017E-3</v>
      </c>
      <c r="GN7" s="45">
        <f>Y7/SUM(Y7,AG7,AO7)</f>
        <v>0.21400784754871752</v>
      </c>
    </row>
    <row r="8" spans="1:197" ht="21" customHeight="1" x14ac:dyDescent="0.25">
      <c r="A8" s="28" t="s">
        <v>38</v>
      </c>
      <c r="B8" s="28"/>
      <c r="C8" s="11">
        <f t="shared" si="0"/>
        <v>428.99099999999999</v>
      </c>
      <c r="D8" s="11">
        <f t="shared" si="0"/>
        <v>58.116</v>
      </c>
      <c r="E8" s="11">
        <f t="shared" si="0"/>
        <v>54.400000000000006</v>
      </c>
      <c r="F8" s="11">
        <f t="shared" si="0"/>
        <v>4</v>
      </c>
      <c r="G8" s="11">
        <f t="shared" si="0"/>
        <v>6.6920000000000002</v>
      </c>
      <c r="H8" s="11">
        <f t="shared" si="0"/>
        <v>13.042999999999999</v>
      </c>
      <c r="I8" s="11">
        <f t="shared" si="0"/>
        <v>506.84199999999998</v>
      </c>
      <c r="J8" s="48"/>
      <c r="K8" s="11">
        <f t="shared" ref="K8:Q11" si="18">IF(SUM(S8,AA8,AI8,AQ8)&lt;=0,"-",SUM(S8,AA8,AI8,AQ8))</f>
        <v>428.99099999999999</v>
      </c>
      <c r="L8" s="11">
        <f t="shared" si="18"/>
        <v>58.116</v>
      </c>
      <c r="M8" s="11">
        <f t="shared" si="18"/>
        <v>54.400000000000006</v>
      </c>
      <c r="N8" s="11">
        <f t="shared" si="18"/>
        <v>4</v>
      </c>
      <c r="O8" s="11">
        <f t="shared" si="18"/>
        <v>6.6920000000000002</v>
      </c>
      <c r="P8" s="11">
        <f t="shared" si="18"/>
        <v>13.042999999999999</v>
      </c>
      <c r="Q8" s="11">
        <f t="shared" si="18"/>
        <v>506.84199999999998</v>
      </c>
      <c r="R8" s="48"/>
      <c r="S8" s="33">
        <f>236577/1000</f>
        <v>236.577</v>
      </c>
      <c r="T8" s="33">
        <f>34307/1000</f>
        <v>34.307000000000002</v>
      </c>
      <c r="U8" s="33">
        <f>21+9.6+1.4</f>
        <v>32</v>
      </c>
      <c r="V8" s="33">
        <v>2</v>
      </c>
      <c r="W8" s="33">
        <f>1800/1000</f>
        <v>1.8</v>
      </c>
      <c r="X8" s="33">
        <f>13043/1000</f>
        <v>13.042999999999999</v>
      </c>
      <c r="Y8" s="31">
        <f t="shared" si="3"/>
        <v>285.72700000000003</v>
      </c>
      <c r="Z8" s="31"/>
      <c r="AA8" s="33">
        <f>50352/1000</f>
        <v>50.351999999999997</v>
      </c>
      <c r="AB8" s="33">
        <f>7069/1000</f>
        <v>7.069</v>
      </c>
      <c r="AC8" s="33">
        <f>1.5+0.4+0.7+1.8+1+0.7</f>
        <v>6.1</v>
      </c>
      <c r="AD8" s="33">
        <v>1</v>
      </c>
      <c r="AE8" s="33">
        <f>1084/1000</f>
        <v>1.0840000000000001</v>
      </c>
      <c r="AF8" s="33"/>
      <c r="AG8" s="31">
        <f t="shared" si="4"/>
        <v>58.505000000000003</v>
      </c>
      <c r="AH8" s="31"/>
      <c r="AI8" s="33">
        <f>78062/1000</f>
        <v>78.061999999999998</v>
      </c>
      <c r="AJ8" s="33">
        <f>16740/1000</f>
        <v>16.739999999999998</v>
      </c>
      <c r="AK8" s="33">
        <f>15.7+0.5+0.1</f>
        <v>16.3</v>
      </c>
      <c r="AL8" s="33">
        <v>1</v>
      </c>
      <c r="AM8" s="33">
        <f>3808/1000</f>
        <v>3.8079999999999998</v>
      </c>
      <c r="AN8" s="33"/>
      <c r="AO8" s="31">
        <f t="shared" si="5"/>
        <v>98.609999999999985</v>
      </c>
      <c r="AP8" s="31"/>
      <c r="AQ8" s="33">
        <v>64</v>
      </c>
      <c r="AR8" s="33"/>
      <c r="AS8" s="33"/>
      <c r="AT8" s="33"/>
      <c r="AU8" s="33"/>
      <c r="AV8" s="33"/>
      <c r="AW8" s="31">
        <f t="shared" si="6"/>
        <v>64</v>
      </c>
      <c r="AX8" s="31"/>
      <c r="AY8" s="33"/>
      <c r="AZ8" s="33"/>
      <c r="BA8" s="33"/>
      <c r="BB8" s="33"/>
      <c r="BC8" s="33"/>
      <c r="BD8" s="33"/>
      <c r="BE8" s="31">
        <f t="shared" si="7"/>
        <v>0</v>
      </c>
      <c r="BF8" s="31"/>
      <c r="BG8" s="11">
        <f t="shared" ref="BG8:BH11" si="19">IF(SUM(BS8,CA8,CI8,CY8,CQ8)&lt;=0,"-",SUM(BS8,CA8,CI8,CY8,CQ8))</f>
        <v>1427.7650378350647</v>
      </c>
      <c r="BH8" s="11">
        <f t="shared" si="19"/>
        <v>2347.2349621649355</v>
      </c>
      <c r="BI8" s="11">
        <f t="shared" ref="BI8:BK11" si="20">IF(SUM(BW8,CE8,CM8,DC8,CU8)&lt;=0,"-",SUM(BW8,CE8,CM8,DC8,CU8))</f>
        <v>2196</v>
      </c>
      <c r="BJ8" s="11">
        <f t="shared" si="20"/>
        <v>325</v>
      </c>
      <c r="BK8" s="11">
        <f t="shared" si="20"/>
        <v>6296</v>
      </c>
      <c r="BL8" s="48"/>
      <c r="BM8" s="11">
        <f t="shared" ref="BM8:BN11" si="21">IF(SUM(BS8,CA8,CI8,CQ8)&lt;=0,"-",SUM(BS8,CA8,CI8,CQ8))</f>
        <v>1427.7650378350647</v>
      </c>
      <c r="BN8" s="11">
        <f t="shared" si="21"/>
        <v>2347.2349621649355</v>
      </c>
      <c r="BO8" s="11">
        <f t="shared" ref="BO8:BQ11" si="22">IF(SUM(BW8,CE8,CM8,CU8)&lt;=0,"-",SUM(BW8,CE8,CM8,CU8))</f>
        <v>2196</v>
      </c>
      <c r="BP8" s="11">
        <f t="shared" si="22"/>
        <v>325</v>
      </c>
      <c r="BQ8" s="11">
        <f t="shared" si="22"/>
        <v>6296</v>
      </c>
      <c r="BR8" s="48"/>
      <c r="BS8" s="33">
        <v>108</v>
      </c>
      <c r="BT8" s="33">
        <v>491</v>
      </c>
      <c r="BU8" s="33">
        <f>191+139+41</f>
        <v>371</v>
      </c>
      <c r="BV8" s="33">
        <v>120</v>
      </c>
      <c r="BW8" s="33">
        <v>187</v>
      </c>
      <c r="BX8" s="33">
        <v>325</v>
      </c>
      <c r="BY8" s="31">
        <f t="shared" si="8"/>
        <v>1111</v>
      </c>
      <c r="BZ8" s="31"/>
      <c r="CA8" s="33">
        <f>403+194+341-(191*12674/(12674+2920))</f>
        <v>782.76503783506473</v>
      </c>
      <c r="CB8" s="33">
        <f>420+217+383-(191*2920/(12674+2920))</f>
        <v>984.23496216493527</v>
      </c>
      <c r="CC8" s="33">
        <f>CB8-CD8</f>
        <v>700.23496216493527</v>
      </c>
      <c r="CD8" s="33">
        <f>23+123+138</f>
        <v>284</v>
      </c>
      <c r="CE8" s="33">
        <f>121+152+173</f>
        <v>446</v>
      </c>
      <c r="CF8" s="33"/>
      <c r="CG8" s="31">
        <f t="shared" ref="CG8" si="23">SUM(CA8:CB8,CE8:CF8)</f>
        <v>2213</v>
      </c>
      <c r="CH8" s="31"/>
      <c r="CI8" s="33">
        <v>325</v>
      </c>
      <c r="CJ8" s="33">
        <v>871</v>
      </c>
      <c r="CK8" s="33">
        <f>826+16+19</f>
        <v>861</v>
      </c>
      <c r="CL8" s="33">
        <v>10</v>
      </c>
      <c r="CM8" s="33">
        <v>1544</v>
      </c>
      <c r="CN8" s="33"/>
      <c r="CO8" s="31">
        <f t="shared" si="9"/>
        <v>2740</v>
      </c>
      <c r="CP8" s="31"/>
      <c r="CQ8" s="33">
        <f>11+201</f>
        <v>212</v>
      </c>
      <c r="CR8" s="33">
        <v>1</v>
      </c>
      <c r="CS8" s="33"/>
      <c r="CT8" s="33">
        <v>1</v>
      </c>
      <c r="CU8" s="33">
        <f>13+6</f>
        <v>19</v>
      </c>
      <c r="CV8" s="33"/>
      <c r="CW8" s="31">
        <f t="shared" si="10"/>
        <v>232</v>
      </c>
      <c r="CX8" s="31"/>
      <c r="CY8" s="33"/>
      <c r="CZ8" s="33"/>
      <c r="DA8" s="33"/>
      <c r="DB8" s="33"/>
      <c r="DC8" s="33"/>
      <c r="DD8" s="33"/>
      <c r="DE8" s="31">
        <f t="shared" ref="DE8:DE11" si="24">SUM(CY8:CZ8,DC8:DD8)</f>
        <v>0</v>
      </c>
      <c r="DF8" s="31"/>
      <c r="DG8" s="36">
        <f t="shared" ref="DG8:DH8" si="25">IF(ISERROR(K8/$Q8),"-",IF(K8/$Q8&lt;=0,"-",K8/$Q8))</f>
        <v>0.84639986425750036</v>
      </c>
      <c r="DH8" s="36">
        <f t="shared" si="25"/>
        <v>0.11466295216260688</v>
      </c>
      <c r="DI8" s="36">
        <f t="shared" ref="DI8" si="26">IF(ISERROR(O8/$Q8),"-",IF(O8/$Q8&lt;=0,"-",O8/$Q8))</f>
        <v>1.3203325691241058E-2</v>
      </c>
      <c r="DJ8" s="36">
        <f t="shared" si="11"/>
        <v>2.5733857888651689E-2</v>
      </c>
      <c r="DK8" s="31"/>
      <c r="DL8" s="35">
        <f t="shared" si="12"/>
        <v>0.8279826547718625</v>
      </c>
      <c r="DM8" s="35">
        <f t="shared" si="12"/>
        <v>0.12006915692251695</v>
      </c>
      <c r="DN8" s="35">
        <f t="shared" si="13"/>
        <v>6.2997196624750189E-3</v>
      </c>
      <c r="DO8" s="35">
        <f t="shared" si="13"/>
        <v>4.5648468643145375E-2</v>
      </c>
      <c r="DP8" s="31"/>
      <c r="DQ8" s="35">
        <f t="shared" si="14"/>
        <v>0.86064438936842991</v>
      </c>
      <c r="DR8" s="35">
        <f t="shared" si="14"/>
        <v>0.12082727971968207</v>
      </c>
      <c r="DS8" s="35">
        <f t="shared" si="15"/>
        <v>1.8528330911887873E-2</v>
      </c>
      <c r="DT8" s="35" t="str">
        <f t="shared" si="15"/>
        <v>-</v>
      </c>
      <c r="DU8" s="31"/>
      <c r="DV8" s="35">
        <f t="shared" si="16"/>
        <v>0.79162356758949404</v>
      </c>
      <c r="DW8" s="35">
        <f t="shared" si="16"/>
        <v>0.16975965926376635</v>
      </c>
      <c r="DX8" s="35">
        <f t="shared" si="17"/>
        <v>3.8616773146739683E-2</v>
      </c>
      <c r="DY8" s="35" t="str">
        <f t="shared" si="17"/>
        <v>-</v>
      </c>
      <c r="DZ8" s="31"/>
      <c r="EA8" s="35">
        <f t="shared" ref="EA8:EB8" si="27">IF(ISERROR(AQ8/$AW8),"-",IF(AQ8/$AW8&lt;=0,"-",AQ8/$AW8))</f>
        <v>1</v>
      </c>
      <c r="EB8" s="35" t="str">
        <f t="shared" si="27"/>
        <v>-</v>
      </c>
      <c r="EC8" s="35" t="str">
        <f t="shared" ref="EC8:ED8" si="28">IF(ISERROR(AU8/$AW8),"-",IF(AU8/$AW8&lt;=0,"-",AU8/$AW8))</f>
        <v>-</v>
      </c>
      <c r="ED8" s="35" t="str">
        <f t="shared" si="28"/>
        <v>-</v>
      </c>
      <c r="EE8" s="31"/>
      <c r="EF8" s="37">
        <f t="shared" ref="EF8" si="29">IF(ISERROR(V8/T8),"-",V8/T8)</f>
        <v>5.8297140525257231E-2</v>
      </c>
      <c r="EG8" s="37">
        <f t="shared" ref="EG8" si="30">IF(ISERROR(AD8/AB8),"-",AD8/AB8)</f>
        <v>0.14146272457207526</v>
      </c>
      <c r="EH8" s="37">
        <f t="shared" ref="EH8" si="31">IF(ISERROR(AL8/AJ8),"-",AL8/AJ8)</f>
        <v>5.9737156511350066E-2</v>
      </c>
      <c r="EI8" s="37" t="str">
        <f t="shared" ref="EI8" si="32">IF(ISERROR(AT8/AR8),"-",AT8/AR8)</f>
        <v>-</v>
      </c>
      <c r="EJ8" s="37">
        <f t="shared" ref="EJ8" si="33">IF(ISERROR(N8/L8),"-",N8/L8)</f>
        <v>6.8827861518342623E-2</v>
      </c>
      <c r="EK8" s="31"/>
      <c r="EL8" s="38">
        <f t="shared" ref="EL8:EM8" si="34">IF(ISERROR(BM8/K8/1000),"-",IF((BM8/K8/1000)&lt;=0,"-",BM8/K8/1000))</f>
        <v>3.3281934535574517E-3</v>
      </c>
      <c r="EM8" s="38">
        <f t="shared" si="34"/>
        <v>4.0388790731725098E-2</v>
      </c>
      <c r="EN8" s="38">
        <f t="shared" ref="EN8:EP8" si="35">IF(ISERROR(BO8/O8/1000),"-",IF((BO8/O8/1000)&lt;=0,"-",BO8/O8/1000))</f>
        <v>0.32815301852958756</v>
      </c>
      <c r="EO8" s="38">
        <f t="shared" si="35"/>
        <v>2.4917580311278085E-2</v>
      </c>
      <c r="EP8" s="38">
        <f t="shared" si="35"/>
        <v>1.2422017117760564E-2</v>
      </c>
      <c r="EQ8" s="48"/>
      <c r="ER8" s="38">
        <f t="shared" ref="ER8:ES8" si="36">IF(OR(BS8=0,S8=0),"-",IF(ISERROR(BS8/S8/1000),"-",IF((BS8/S8/1000)&lt;=0,"-",BS8/S8/1000)))</f>
        <v>4.5651098796586312E-4</v>
      </c>
      <c r="ES8" s="41">
        <f t="shared" si="36"/>
        <v>1.431194799895065E-2</v>
      </c>
      <c r="ET8" s="41">
        <f t="shared" ref="ET8:EV8" si="37">IF(OR(BW8=0,W8=0),"-",IF(ISERROR(BW8/W8/1000),"-",IF((BW8/W8/1000)&lt;=0,"-",BW8/W8/1000)))</f>
        <v>0.10388888888888889</v>
      </c>
      <c r="EU8" s="41">
        <f t="shared" si="37"/>
        <v>2.4917580311278085E-2</v>
      </c>
      <c r="EV8" s="41">
        <f t="shared" si="37"/>
        <v>3.888326969449859E-3</v>
      </c>
      <c r="EW8" s="31"/>
      <c r="EX8" s="38">
        <f t="shared" ref="EX8:EY8" si="38">IF(OR(CA8=0,AA8=0),"-",IF(ISERROR(CA8/AA8/1000),"-",IF((CA8/AA8/1000)&lt;=0,"-",CA8/AA8/1000)))</f>
        <v>1.5545857916965855E-2</v>
      </c>
      <c r="EY8" s="41">
        <f t="shared" si="38"/>
        <v>0.13923255936694515</v>
      </c>
      <c r="EZ8" s="41">
        <f t="shared" ref="EZ8:FB8" si="39">IF(OR(CE8=0,AE8=0),"-",IF(ISERROR(CE8/AE8/1000),"-",IF((CE8/AE8/1000)&lt;=0,"-",CE8/AE8/1000)))</f>
        <v>0.41143911439114389</v>
      </c>
      <c r="FA8" s="41" t="str">
        <f t="shared" si="39"/>
        <v>-</v>
      </c>
      <c r="FB8" s="41">
        <f t="shared" si="39"/>
        <v>3.7825826852405778E-2</v>
      </c>
      <c r="FC8" s="31"/>
      <c r="FD8" s="38">
        <f t="shared" ref="FD8:FE8" si="40">IF(OR(CI8=0,AI8=0),"-",IF(ISERROR(CI8/AI8/1000),"-",IF((CI8/AI8/1000)&lt;=0,"-",CI8/AI8/1000)))</f>
        <v>4.1633573313520026E-3</v>
      </c>
      <c r="FE8" s="41">
        <f t="shared" si="40"/>
        <v>5.2031063321385906E-2</v>
      </c>
      <c r="FF8" s="41">
        <f t="shared" ref="FF8:FH8" si="41">IF(OR(CM8=0,AM8=0),"-",IF(ISERROR(CM8/AM8/1000),"-",IF((CM8/AM8/1000)&lt;=0,"-",CM8/AM8/1000)))</f>
        <v>0.40546218487394958</v>
      </c>
      <c r="FG8" s="41" t="str">
        <f t="shared" si="41"/>
        <v>-</v>
      </c>
      <c r="FH8" s="41">
        <f t="shared" si="41"/>
        <v>2.7786228577223408E-2</v>
      </c>
      <c r="FI8" s="31"/>
      <c r="FJ8" s="38">
        <f t="shared" ref="FJ8:FK8" si="42">IF(OR(CQ8=0,AQ8=0),"-",IF(ISERROR(CQ8/AQ8/1000),"-",IF((CQ8/AQ8/1000)&lt;=0,"-",CQ8/AQ8/1000)))</f>
        <v>3.3124999999999999E-3</v>
      </c>
      <c r="FK8" s="38" t="str">
        <f t="shared" si="42"/>
        <v>-</v>
      </c>
      <c r="FL8" s="38" t="str">
        <f t="shared" ref="FL8:FN8" si="43">IF(OR(CU8=0,AU8=0),"-",IF(ISERROR(CU8/AU8/1000),"-",IF((CU8/AU8/1000)&lt;=0,"-",CU8/AU8/1000)))</f>
        <v>-</v>
      </c>
      <c r="FM8" s="38" t="str">
        <f t="shared" si="43"/>
        <v>-</v>
      </c>
      <c r="FN8" s="38">
        <f t="shared" si="43"/>
        <v>3.6250000000000002E-3</v>
      </c>
      <c r="FP8" s="46">
        <v>602</v>
      </c>
      <c r="FQ8" s="46">
        <f t="shared" ref="FQ8" si="44">656+241+595</f>
        <v>1492</v>
      </c>
      <c r="FR8" s="46">
        <f t="shared" ref="FR8" si="45">1262+257</f>
        <v>1519</v>
      </c>
      <c r="FS8" s="46">
        <f t="shared" ref="FS8" si="46">10+194</f>
        <v>204</v>
      </c>
      <c r="FT8" s="47">
        <f t="shared" ref="FT8" si="47">SUM(FP8:FS8)</f>
        <v>3817</v>
      </c>
      <c r="FV8" s="43">
        <f t="shared" ref="FV8" si="48">IF(ISERROR(FP8/$Y8/1000),"-",IF(FP8/$Y8/1000=0,"-",FP8/$Y8/1000))</f>
        <v>2.1069062426722009E-3</v>
      </c>
      <c r="FW8" s="43">
        <f t="shared" ref="FW8" si="49">IF(ISERROR(FQ8/$AG8/1000),"-",IF(FQ8/$AG8/1000=0,"-",FQ8/$AG8/1000))</f>
        <v>2.550209383813349E-2</v>
      </c>
      <c r="FX8" s="43">
        <f t="shared" ref="FX8" si="50">IF(ISERROR(FR8/$AO8/1000),"-",IF(FR8/$AO8/1000=0,"-",FR8/$AO8/1000))</f>
        <v>1.5404117229489913E-2</v>
      </c>
      <c r="FY8" s="43">
        <f t="shared" ref="FY8" si="51">IF(ISERROR(FS8/$AW8/1000),"-",IF(FS8/$AW8/1000=0,"-",FS8/$AW8/1000))</f>
        <v>3.1874999999999998E-3</v>
      </c>
      <c r="FZ8" s="43">
        <f t="shared" ref="FZ8" si="52">IF(ISERROR(FT8/$Q8/1000),"-",IF(FT8/$Q8/1000=0,"-",FT8/$Q8/1000))</f>
        <v>7.5309465277147514E-3</v>
      </c>
      <c r="GB8" s="49">
        <v>-56</v>
      </c>
      <c r="GC8" s="30">
        <v>-621</v>
      </c>
      <c r="GD8" s="30">
        <v>-71</v>
      </c>
      <c r="GE8" s="30">
        <v>9</v>
      </c>
      <c r="GF8" s="27">
        <f t="shared" ref="GF8:GF10" si="53">IF(SUM(GB8:GE8)=0,"-",SUM(GB8:GE8))</f>
        <v>-739</v>
      </c>
      <c r="GH8" s="43">
        <f t="shared" ref="GH8" si="54">IF(ISERROR(GB8/$Y8/1000),"-",IF(GB8/$Y8/1000=0,"-",GB8/$Y8/1000))</f>
        <v>-1.959912783881117E-4</v>
      </c>
      <c r="GI8" s="43">
        <f t="shared" ref="GI8" si="55">IF(ISERROR(GC8/$AG8/1000),"-",IF(GC8/$AG8/1000=0,"-",GC8/$AG8/1000))</f>
        <v>-1.0614477395094437E-2</v>
      </c>
      <c r="GJ8" s="43">
        <f t="shared" ref="GJ8" si="56">IF(ISERROR(GD8/$AO8/1000),"-",IF(GD8/$AO8/1000=0,"-",GD8/$AO8/1000))</f>
        <v>-7.2000811276746795E-4</v>
      </c>
      <c r="GK8" s="43">
        <f t="shared" ref="GK8" si="57">IF(ISERROR(GE8/$AW8/1000),"-",IF(GE8/$AW8/1000=0,"-",GE8/$AW8/1000))</f>
        <v>1.4062499999999999E-4</v>
      </c>
      <c r="GL8" s="43">
        <f t="shared" ref="GL8" si="58">IF(ISERROR(GF8/$Q8/1000),"-",IF(GF8/$Q8/1000=0,"-",GF8/$Q8/1000))</f>
        <v>-1.4580480702072835E-3</v>
      </c>
    </row>
    <row r="9" spans="1:197" s="60" customFormat="1" x14ac:dyDescent="0.25">
      <c r="A9" s="50" t="s">
        <v>35</v>
      </c>
      <c r="B9" s="50"/>
      <c r="C9" s="13">
        <f t="shared" si="0"/>
        <v>772.12400000000002</v>
      </c>
      <c r="D9" s="13">
        <f t="shared" si="0"/>
        <v>146.27600000000001</v>
      </c>
      <c r="E9" s="13">
        <f t="shared" si="0"/>
        <v>74.336999999999989</v>
      </c>
      <c r="F9" s="13">
        <f t="shared" si="0"/>
        <v>2.3120000000000003</v>
      </c>
      <c r="G9" s="13">
        <f t="shared" si="0"/>
        <v>10.791</v>
      </c>
      <c r="H9" s="13" t="str">
        <f t="shared" si="0"/>
        <v>-</v>
      </c>
      <c r="I9" s="13">
        <f t="shared" si="0"/>
        <v>929.19100000000003</v>
      </c>
      <c r="J9" s="13"/>
      <c r="K9" s="13">
        <f t="shared" si="18"/>
        <v>562.92399999999998</v>
      </c>
      <c r="L9" s="13">
        <f t="shared" si="18"/>
        <v>139.976</v>
      </c>
      <c r="M9" s="13">
        <f t="shared" si="18"/>
        <v>74.336999999999989</v>
      </c>
      <c r="N9" s="13">
        <f t="shared" si="18"/>
        <v>2.3120000000000003</v>
      </c>
      <c r="O9" s="13">
        <f t="shared" si="18"/>
        <v>10.676</v>
      </c>
      <c r="P9" s="13" t="str">
        <f t="shared" si="18"/>
        <v>-</v>
      </c>
      <c r="Q9" s="13">
        <f t="shared" si="18"/>
        <v>713.57600000000002</v>
      </c>
      <c r="R9" s="13"/>
      <c r="S9" s="51">
        <f>134.612+8.593</f>
        <v>143.20499999999998</v>
      </c>
      <c r="T9" s="51">
        <f>SUM(U9:V9)+0.571</f>
        <v>20.842000000000002</v>
      </c>
      <c r="U9" s="51">
        <f>17.464+1.765</f>
        <v>19.228999999999999</v>
      </c>
      <c r="V9" s="51">
        <v>1.042</v>
      </c>
      <c r="W9" s="51">
        <f>2.258+0.003</f>
        <v>2.2610000000000001</v>
      </c>
      <c r="X9" s="51" t="s">
        <v>34</v>
      </c>
      <c r="Y9" s="52">
        <f>SUM(S9:T9,W9:X9)</f>
        <v>166.30799999999999</v>
      </c>
      <c r="Z9" s="52"/>
      <c r="AA9" s="51">
        <f>35.829+128.812</f>
        <v>164.64100000000002</v>
      </c>
      <c r="AB9" s="53">
        <f>SUM(AC9:AD9)+10.916</f>
        <v>23.658999999999999</v>
      </c>
      <c r="AC9" s="53">
        <f>11.825+0.361</f>
        <v>12.186</v>
      </c>
      <c r="AD9" s="53">
        <v>0.55700000000000005</v>
      </c>
      <c r="AE9" s="53">
        <f>3.463+0.206</f>
        <v>3.669</v>
      </c>
      <c r="AF9" s="51" t="s">
        <v>34</v>
      </c>
      <c r="AG9" s="52">
        <f>SUM(AA9:AB9,AE9:AF9)</f>
        <v>191.96900000000002</v>
      </c>
      <c r="AH9" s="52"/>
      <c r="AI9" s="53">
        <f>107.676+147.402</f>
        <v>255.07799999999997</v>
      </c>
      <c r="AJ9" s="53">
        <f>SUM(AK9:AL9)+51.84</f>
        <v>95.474999999999994</v>
      </c>
      <c r="AK9" s="53">
        <f>39.631+3.291</f>
        <v>42.921999999999997</v>
      </c>
      <c r="AL9" s="53">
        <v>0.71299999999999997</v>
      </c>
      <c r="AM9" s="53">
        <f>3.386+1.36</f>
        <v>4.7460000000000004</v>
      </c>
      <c r="AN9" s="53"/>
      <c r="AO9" s="54">
        <f>SUM(AI9:AJ9,AM9:AN9)</f>
        <v>355.29899999999998</v>
      </c>
      <c r="AP9" s="52"/>
      <c r="AQ9" s="51" t="s">
        <v>34</v>
      </c>
      <c r="AR9" s="51" t="s">
        <v>34</v>
      </c>
      <c r="AS9" s="51" t="s">
        <v>34</v>
      </c>
      <c r="AT9" s="51" t="s">
        <v>34</v>
      </c>
      <c r="AU9" s="51" t="s">
        <v>34</v>
      </c>
      <c r="AV9" s="51" t="s">
        <v>34</v>
      </c>
      <c r="AW9" s="52">
        <f>SUM(AQ9:AR9,AU9:AV9)</f>
        <v>0</v>
      </c>
      <c r="AX9" s="52"/>
      <c r="AY9" s="30">
        <v>209.2</v>
      </c>
      <c r="AZ9" s="30">
        <v>6.3</v>
      </c>
      <c r="BA9" s="30" t="s">
        <v>34</v>
      </c>
      <c r="BB9" s="30" t="s">
        <v>34</v>
      </c>
      <c r="BC9" s="30">
        <v>0.115</v>
      </c>
      <c r="BD9" s="30" t="s">
        <v>34</v>
      </c>
      <c r="BE9" s="52">
        <f>SUM(AY9:AZ9,BC9:BD9)</f>
        <v>215.61500000000001</v>
      </c>
      <c r="BF9" s="52"/>
      <c r="BG9" s="13">
        <f>IF(SUM(BS9,CA9,CI9,CY9,CQ9)&lt;=0,"-",SUM(BS9,CA9,CI9,CY9,CQ9))</f>
        <v>1182</v>
      </c>
      <c r="BH9" s="13">
        <f>IF(SUM(BT9,CB9,CJ9,CZ9,CR9)&lt;=0,"-",SUM(BT9,CB9,CJ9,CZ9,CR9))</f>
        <v>4546</v>
      </c>
      <c r="BI9" s="13">
        <f>IF(SUM(BW9,CE9,CM9,DC9,CU9)&lt;=0,"-",SUM(BW9,CE9,CM9,DC9,CU9))</f>
        <v>4150</v>
      </c>
      <c r="BJ9" s="13" t="str">
        <f>IF(SUM(BX9,CF9,CN9,DD9,CV9)&lt;=0,"-",SUM(BX9,CF9,CN9,DD9,CV9))</f>
        <v>-</v>
      </c>
      <c r="BK9" s="13">
        <f>IF(SUM(BY9,CG9,CO9,DE9,CW9)&lt;=0,"-",SUM(BY9,CG9,CO9,DE9,CW9))</f>
        <v>9878</v>
      </c>
      <c r="BL9" s="13"/>
      <c r="BM9" s="13">
        <f>IF(SUM(BS9,CA9,CI9,CQ9)&lt;=0,"-",SUM(BS9,CA9,CI9,CQ9))</f>
        <v>1145</v>
      </c>
      <c r="BN9" s="13">
        <f>IF(SUM(BT9,CB9,CJ9,CR9)&lt;=0,"-",SUM(BT9,CB9,CJ9,CR9))</f>
        <v>4522</v>
      </c>
      <c r="BO9" s="13">
        <f>IF(SUM(BW9,CE9,CM9,CU9)&lt;=0,"-",SUM(BW9,CE9,CM9,CU9))</f>
        <v>4035</v>
      </c>
      <c r="BP9" s="13" t="str">
        <f>IF(SUM(BX9,CF9,CN9,CV9)&lt;=0,"-",SUM(BX9,CF9,CN9,CV9))</f>
        <v>-</v>
      </c>
      <c r="BQ9" s="13">
        <f>IF(SUM(BY9,CG9,CO9,CW9)&lt;=0,"-",SUM(BY9,CG9,CO9,CW9))</f>
        <v>9702</v>
      </c>
      <c r="BR9" s="13"/>
      <c r="BS9" s="51">
        <v>22</v>
      </c>
      <c r="BT9" s="51">
        <f>SUM(BU9:BV9)</f>
        <v>83</v>
      </c>
      <c r="BU9" s="51">
        <f>47+15</f>
        <v>62</v>
      </c>
      <c r="BV9" s="51">
        <v>21</v>
      </c>
      <c r="BW9" s="51">
        <v>397</v>
      </c>
      <c r="BX9" s="51"/>
      <c r="BY9" s="52">
        <f>SUM(BS9:BT9,BW9:BX9)</f>
        <v>502</v>
      </c>
      <c r="BZ9" s="52"/>
      <c r="CA9" s="51">
        <f>768+71</f>
        <v>839</v>
      </c>
      <c r="CB9" s="51">
        <f>SUM(CC9:CD9)+156</f>
        <v>3103</v>
      </c>
      <c r="CC9" s="51">
        <f>(2515+146)</f>
        <v>2661</v>
      </c>
      <c r="CD9" s="51">
        <v>286</v>
      </c>
      <c r="CE9" s="51">
        <f>2535+19</f>
        <v>2554</v>
      </c>
      <c r="CF9" s="51"/>
      <c r="CG9" s="52">
        <f>SUM(CA9:CB9,CE9:CF9)</f>
        <v>6496</v>
      </c>
      <c r="CH9" s="52"/>
      <c r="CI9" s="51">
        <f>233+51</f>
        <v>284</v>
      </c>
      <c r="CJ9" s="51">
        <f>SUM(CK9:CL9)+415</f>
        <v>1336</v>
      </c>
      <c r="CK9" s="51">
        <f>(812+80)</f>
        <v>892</v>
      </c>
      <c r="CL9" s="51">
        <v>29</v>
      </c>
      <c r="CM9" s="51">
        <f>1055+29</f>
        <v>1084</v>
      </c>
      <c r="CN9" s="51"/>
      <c r="CO9" s="52">
        <f>SUM(CI9:CJ9,CM9:CN9)</f>
        <v>2704</v>
      </c>
      <c r="CP9" s="52"/>
      <c r="CQ9" s="51" t="s">
        <v>34</v>
      </c>
      <c r="CR9" s="51" t="s">
        <v>34</v>
      </c>
      <c r="CS9" s="51" t="s">
        <v>34</v>
      </c>
      <c r="CT9" s="51" t="s">
        <v>34</v>
      </c>
      <c r="CU9" s="51" t="s">
        <v>34</v>
      </c>
      <c r="CV9" s="51" t="s">
        <v>34</v>
      </c>
      <c r="CW9" s="52">
        <f>SUM(CQ9:CR9,CU9:CV9)</f>
        <v>0</v>
      </c>
      <c r="CX9" s="52"/>
      <c r="CY9" s="51">
        <v>37</v>
      </c>
      <c r="CZ9" s="51">
        <v>24</v>
      </c>
      <c r="DA9" s="51" t="s">
        <v>34</v>
      </c>
      <c r="DB9" s="51" t="s">
        <v>34</v>
      </c>
      <c r="DC9" s="51">
        <v>115</v>
      </c>
      <c r="DD9" s="51" t="s">
        <v>34</v>
      </c>
      <c r="DE9" s="52">
        <f>SUM(CY9:CZ9,DC9:DD9)</f>
        <v>176</v>
      </c>
      <c r="DF9" s="52"/>
      <c r="DG9" s="55">
        <f>IF(ISERROR(K9/$Q9),"-",IF(K9/$Q9&lt;=0,"-",K9/$Q9))</f>
        <v>0.78887742861306986</v>
      </c>
      <c r="DH9" s="55">
        <f>IF(ISERROR(L9/$Q9),"-",IF(L9/$Q9&lt;=0,"-",L9/$Q9))</f>
        <v>0.19616130587351591</v>
      </c>
      <c r="DI9" s="55">
        <f>IF(ISERROR(O9/$Q9),"-",IF(O9/$Q9&lt;=0,"-",O9/$Q9))</f>
        <v>1.4961265513414129E-2</v>
      </c>
      <c r="DJ9" s="55" t="str">
        <f>IF(ISERROR(P9/$Q9),"-",IF(P9/$Q9&lt;=0,"-",P9/$Q9))</f>
        <v>-</v>
      </c>
      <c r="DK9" s="52"/>
      <c r="DL9" s="56">
        <f>IF(ISERROR(S9/$Y9),"-",IF(S9/$Y9&lt;=0,"-",S9/$Y9))</f>
        <v>0.86108305072516045</v>
      </c>
      <c r="DM9" s="56">
        <f>IF(ISERROR(T9/$Y9),"-",IF(T9/$Y9&lt;=0,"-",T9/$Y9))</f>
        <v>0.12532169228179044</v>
      </c>
      <c r="DN9" s="56">
        <f>IF(ISERROR(W9/$Y9),"-",IF(W9/$Y9&lt;=0,"-",W9/$Y9))</f>
        <v>1.3595256993049042E-2</v>
      </c>
      <c r="DO9" s="56" t="str">
        <f>IF(ISERROR(X9/$Y9),"-",IF(X9/$Y9&lt;=0,"-",X9/$Y9))</f>
        <v>-</v>
      </c>
      <c r="DP9" s="52"/>
      <c r="DQ9" s="56">
        <f>IF(ISERROR(AA9/$AG9),"-",IF(AA9/$AG9&lt;=0,"-",AA9/$AG9))</f>
        <v>0.85764368205283148</v>
      </c>
      <c r="DR9" s="56">
        <f>IF(ISERROR(AB9/$AG9),"-",IF(AB9/$AG9&lt;=0,"-",AB9/$AG9))</f>
        <v>0.1232438570810912</v>
      </c>
      <c r="DS9" s="56">
        <f>IF(ISERROR(AE9/$AG9),"-",IF(AE9/$AG9&lt;=0,"-",AE9/$AG9))</f>
        <v>1.9112460866077333E-2</v>
      </c>
      <c r="DT9" s="56" t="str">
        <f>IF(ISERROR(AF9/$AG9),"-",IF(AF9/$AG9&lt;=0,"-",AF9/$AG9))</f>
        <v>-</v>
      </c>
      <c r="DU9" s="52"/>
      <c r="DV9" s="56">
        <f>IF(ISERROR(AI9/$AO9),"-",IF(AI9/$AO9&lt;=0,"-",AI9/$AO9))</f>
        <v>0.71792490268759546</v>
      </c>
      <c r="DW9" s="56">
        <f>IF(ISERROR(AJ9/$AO9),"-",IF(AJ9/$AO9&lt;=0,"-",AJ9/$AO9))</f>
        <v>0.268717333851207</v>
      </c>
      <c r="DX9" s="56">
        <f>IF(ISERROR(AM9/$AM9),"-",IF(AM9/$AO9&lt;=0,"-",AM9/$AO9))</f>
        <v>1.3357763461197473E-2</v>
      </c>
      <c r="DY9" s="56" t="str">
        <f>IF(ISERROR(AN9/$AM9),"-",IF(AN9/$AO9&lt;=0,"-",AN9/$AO9))</f>
        <v>-</v>
      </c>
      <c r="DZ9" s="52"/>
      <c r="EA9" s="56" t="str">
        <f>IF(ISERROR(AQ9/$AW9),"-",IF(AQ9/$AW9&lt;=0,"-",AQ9/$AW9))</f>
        <v>-</v>
      </c>
      <c r="EB9" s="56" t="str">
        <f>IF(ISERROR(AR9/$AW9),"-",IF(AR9/$AW9&lt;=0,"-",AR9/$AW9))</f>
        <v>-</v>
      </c>
      <c r="EC9" s="56" t="str">
        <f>IF(ISERROR(AU9/$AW9),"-",IF(AU9/$AW9&lt;=0,"-",AU9/$AW9))</f>
        <v>-</v>
      </c>
      <c r="ED9" s="56" t="str">
        <f>IF(ISERROR(AV9/$AW9),"-",IF(AV9/$AW9&lt;=0,"-",AV9/$AW9))</f>
        <v>-</v>
      </c>
      <c r="EE9" s="52"/>
      <c r="EF9" s="57">
        <f>IF(ISERROR(V9/T9),"-",V9/T9)</f>
        <v>4.9995201995969671E-2</v>
      </c>
      <c r="EG9" s="57">
        <f>IF(ISERROR(AD9/AB9),"-",AD9/AB9)</f>
        <v>2.3542837820702486E-2</v>
      </c>
      <c r="EH9" s="57">
        <f>IF(ISERROR(AL9/AJ9),"-",AL9/AJ9)</f>
        <v>7.4679235401937678E-3</v>
      </c>
      <c r="EI9" s="57" t="str">
        <f>IF(ISERROR(AT9/AR9),"-",AT9/AR9)</f>
        <v>-</v>
      </c>
      <c r="EJ9" s="57">
        <f>IF(ISERROR(N9/L9),"-",N9/L9)</f>
        <v>1.6517117220094874E-2</v>
      </c>
      <c r="EK9" s="52"/>
      <c r="EL9" s="58">
        <f>IF(ISERROR(BM9/K9/1000),"-",IF((BM9/K9/1000)&lt;=0,"-",BM9/K9/1000))</f>
        <v>2.0340223547050756E-3</v>
      </c>
      <c r="EM9" s="39">
        <f>IF(ISERROR(BN9/L9/1000),"-",IF((BN9/L9/1000)&lt;=0,"-",BN9/L9/1000))</f>
        <v>3.230553809224438E-2</v>
      </c>
      <c r="EN9" s="40">
        <f>IF(ISERROR(BO9/O9/1000),"-",IF((BO9/O9/1000)&lt;=0,"-",BO9/O9/1000))</f>
        <v>0.37795054327463468</v>
      </c>
      <c r="EO9" s="58" t="str">
        <f>IF(ISERROR(BP9/P9/1000),"-",IF((BP9/P9/1000)&lt;=0,"-",BP9/P9/1000))</f>
        <v>-</v>
      </c>
      <c r="EP9" s="58">
        <f>IF(ISERROR(BQ9/Q9/1000),"-",IF((BQ9/Q9/1000)&lt;=0,"-",BQ9/Q9/1000))</f>
        <v>1.3596309292913439E-2</v>
      </c>
      <c r="EQ9" s="13"/>
      <c r="ER9" s="58">
        <f>IF(OR(BS9=0,S9=0),"-",IF(ISERROR(BS9/S9/1000),"-",IF((BS9/S9/1000)&lt;=0,"-",BS9/S9/1000)))</f>
        <v>1.5362592088265077E-4</v>
      </c>
      <c r="ES9" s="59">
        <f>IF(OR(BT9=0,T9=0),"-",IF(ISERROR(BT9/T9/1000),"-",IF((BT9/T9/1000)&lt;=0,"-",BT9/T9/1000)))</f>
        <v>3.9823433451684096E-3</v>
      </c>
      <c r="ET9" s="59">
        <f>IF(OR(BW9=0,W9=0),"-",IF(ISERROR(BW9/W9/1000),"-",IF((BW9/W9/1000)&lt;=0,"-",BW9/W9/1000)))</f>
        <v>0.17558602388323749</v>
      </c>
      <c r="EU9" s="59" t="str">
        <f>IF(OR(BX9=0,X9=0),"-",IF(ISERROR(BX9/X9/1000),"-",IF((BX9/X9/1000)&lt;=0,"-",BX9/X9/1000)))</f>
        <v>-</v>
      </c>
      <c r="EV9" s="59">
        <f>IF(OR(BY9=0,Y9=0),"-",IF(ISERROR(BY9/Y9/1000),"-",IF((BY9/Y9/1000)&lt;=0,"-",BY9/Y9/1000)))</f>
        <v>3.0184958029679872E-3</v>
      </c>
      <c r="EW9" s="52"/>
      <c r="EX9" s="58">
        <f>IF(OR(CA9=0,AA9=0),"-",IF(ISERROR(CA9/AA9/1000),"-",IF((CA9/AA9/1000)&lt;=0,"-",CA9/AA9/1000)))</f>
        <v>5.0959360062195922E-3</v>
      </c>
      <c r="EY9" s="59">
        <f>IF(OR(CB9=0,AB9=0),"-",IF(ISERROR(CB9/AB9/1000),"-",IF((CB9/AB9/1000)&lt;=0,"-",CB9/AB9/1000)))</f>
        <v>0.13115516294010737</v>
      </c>
      <c r="EZ9" s="59">
        <f>IF(OR(CE9=0,AE9=0),"-",IF(ISERROR(CE9/AE9/1000),"-",IF((CE9/AE9/1000)&lt;=0,"-",CE9/AE9/1000)))</f>
        <v>0.69610248023984744</v>
      </c>
      <c r="FA9" s="59" t="str">
        <f>IF(OR(CF9=0,AF9=0),"-",IF(ISERROR(CF9/AF9/1000),"-",IF((CF9/AF9/1000)&lt;=0,"-",CF9/AF9/1000)))</f>
        <v>-</v>
      </c>
      <c r="FB9" s="59">
        <f>IF(OR(CG9=0,AG9=0),"-",IF(ISERROR(CG9/AG9/1000),"-",IF((CG9/AG9/1000)&lt;=0,"-",CG9/AG9/1000)))</f>
        <v>3.3838796889081042E-2</v>
      </c>
      <c r="FC9" s="52"/>
      <c r="FD9" s="58">
        <f>IF(OR(CI9=0,AI9=0),"-",IF(ISERROR(CI9/AI9/1000),"-",IF((CI9/AI9/1000)&lt;=0,"-",CI9/AI9/1000)))</f>
        <v>1.1133849253953693E-3</v>
      </c>
      <c r="FE9" s="59">
        <f>IF(OR(CJ9=0,AJ9=0),"-",IF(ISERROR(CJ9/AJ9/1000),"-",IF((CJ9/AJ9/1000)&lt;=0,"-",CJ9/AJ9/1000)))</f>
        <v>1.3993191935061535E-2</v>
      </c>
      <c r="FF9" s="59">
        <f>IF(OR(CM9=0,AM9=0),"-",IF(ISERROR(CM9/AM9/1000),"-",IF((CM9/AM9/1000)&lt;=0,"-",CM9/AM9/1000)))</f>
        <v>0.22840286557100714</v>
      </c>
      <c r="FG9" s="59" t="str">
        <f>IF(OR(CN9=0,AN9=0),"-",IF(ISERROR(CN9/AN9/1000),"-",IF((CN9/AN9/1000)&lt;=0,"-",CN9/AN9/1000)))</f>
        <v>-</v>
      </c>
      <c r="FH9" s="59">
        <f>IF(OR(CO9=0,AO9=0),"-",IF(ISERROR(CO9/AO9/1000),"-",IF((CO9/AO9/1000)&lt;=0,"-",CO9/AO9/1000)))</f>
        <v>7.6104914452334513E-3</v>
      </c>
      <c r="FI9" s="52"/>
      <c r="FJ9" s="58" t="str">
        <f>IF(OR(CQ9=0,AQ9=0),"-",IF(ISERROR(CQ9/AQ9/1000),"-",IF((CQ9/AQ9/1000)&lt;=0,"-",CQ9/AQ9/1000)))</f>
        <v>-</v>
      </c>
      <c r="FK9" s="58" t="str">
        <f>IF(OR(CR9=0,AR9=0),"-",IF(ISERROR(CR9/AR9/1000),"-",IF((CR9/AR9/1000)&lt;=0,"-",CR9/AR9/1000)))</f>
        <v>-</v>
      </c>
      <c r="FL9" s="58" t="str">
        <f>IF(OR(CU9=0,AU9=0),"-",IF(ISERROR(CU9/AU9/1000),"-",IF((CU9/AU9/1000)&lt;=0,"-",CU9/AU9/1000)))</f>
        <v>-</v>
      </c>
      <c r="FM9" s="58" t="str">
        <f>IF(OR(CV9=0,AV9=0),"-",IF(ISERROR(CV9/AV9/1000),"-",IF((CV9/AV9/1000)&lt;=0,"-",CV9/AV9/1000)))</f>
        <v>-</v>
      </c>
      <c r="FN9" s="58" t="str">
        <f>IF(OR(CW9=0,AW9=0),"-",IF(ISERROR(CW9/AW9/1000),"-",IF((CW9/AW9/1000)&lt;=0,"-",CW9/AW9/1000)))</f>
        <v>-</v>
      </c>
      <c r="FP9" s="51">
        <v>79</v>
      </c>
      <c r="FQ9" s="51">
        <v>2296</v>
      </c>
      <c r="FR9" s="51">
        <v>1316</v>
      </c>
      <c r="FS9" s="51">
        <f>3738-3691</f>
        <v>47</v>
      </c>
      <c r="FT9" s="61">
        <f>SUM(FP9:FS9)</f>
        <v>3738</v>
      </c>
      <c r="FV9" s="62">
        <f>IF(ISERROR(FP9/$Y9/1000),"-",IF(FP9/$Y9/1000=0,"-",FP9/$Y9/1000))</f>
        <v>4.7502224787743225E-4</v>
      </c>
      <c r="FW9" s="62">
        <f>IF(ISERROR(FQ9/$AG9/1000),"-",IF(FQ9/$AG9/1000=0,"-",FQ9/$AG9/1000))</f>
        <v>1.196026441769244E-2</v>
      </c>
      <c r="FX9" s="62">
        <f>IF(ISERROR(FR9/$AO9/1000),"-",IF(FR9/$AO9/1000=0,"-",FR9/$AO9/1000))</f>
        <v>3.7039226116594758E-3</v>
      </c>
      <c r="FY9" s="62" t="str">
        <f>IF(ISERROR(FS9/$AW9/1000),"-",IF(FS9/$AW9/1000=0,"-",FS9/$AW9/1000))</f>
        <v>-</v>
      </c>
      <c r="FZ9" s="62">
        <f>IF(ISERROR(FT9/$Q9/1000),"-",IF(FT9/$Q9/1000=0,"-",FT9/$Q9/1000))</f>
        <v>5.238404879087861E-3</v>
      </c>
      <c r="GB9" s="51">
        <v>9</v>
      </c>
      <c r="GC9" s="51">
        <v>845</v>
      </c>
      <c r="GD9" s="51">
        <v>99</v>
      </c>
      <c r="GE9" s="51"/>
      <c r="GF9" s="63">
        <f>IF(SUM(GB9:GE9)=0,"-",SUM(GB9:GE9))</f>
        <v>953</v>
      </c>
      <c r="GH9" s="62">
        <f>IF(ISERROR(GB9/$Y9/1000),"-",IF(GB9/$Y9/1000=0,"-",GB9/$Y9/1000))</f>
        <v>5.4116458618947975E-5</v>
      </c>
      <c r="GI9" s="62">
        <f>IF(ISERROR(GC9/$AG9/1000),"-",IF(GC9/$AG9/1000=0,"-",GC9/$AG9/1000))</f>
        <v>4.4017523662674696E-3</v>
      </c>
      <c r="GJ9" s="62">
        <f>IF(ISERROR(GD9/$AO9/1000),"-",IF(GD9/$AO9/1000=0,"-",GD9/$AO9/1000))</f>
        <v>2.7863855513243779E-4</v>
      </c>
      <c r="GK9" s="62" t="str">
        <f>IF(ISERROR(GE9/$AW9/1000),"-",IF(GE9/$AW9/1000=0,"-",GE9/$AW9/1000))</f>
        <v>-</v>
      </c>
      <c r="GL9" s="62">
        <f>IF(ISERROR(GF9/$Q9/1000),"-",IF(GF9/$Q9/1000=0,"-",GF9/$Q9/1000))</f>
        <v>1.3355269796069373E-3</v>
      </c>
    </row>
    <row r="10" spans="1:197" x14ac:dyDescent="0.25">
      <c r="A10" s="28" t="s">
        <v>36</v>
      </c>
      <c r="B10" s="28"/>
      <c r="C10" s="11">
        <f t="shared" si="0"/>
        <v>266.44400000000002</v>
      </c>
      <c r="D10" s="11">
        <f t="shared" si="0"/>
        <v>97.01</v>
      </c>
      <c r="E10" s="11" t="str">
        <f>IF(SUM(U10,AC10,AK10,BA10)&lt;=0,"-",SUM(U10,AC10,AK10,AS10,BA10))</f>
        <v>-</v>
      </c>
      <c r="F10" s="11" t="str">
        <f t="shared" si="0"/>
        <v>-</v>
      </c>
      <c r="G10" s="11">
        <f>IF(SUM(W10,AE10,AM10,BC10)&lt;=0,"-",SUM(W10,AE10,AM10,AU10,BC10))</f>
        <v>7.1310000000000002</v>
      </c>
      <c r="H10" s="11" t="str">
        <f t="shared" si="0"/>
        <v>-</v>
      </c>
      <c r="I10" s="11">
        <f t="shared" si="0"/>
        <v>370.58499999999998</v>
      </c>
      <c r="K10" s="11">
        <f t="shared" si="18"/>
        <v>266.44400000000002</v>
      </c>
      <c r="L10" s="11">
        <f t="shared" si="18"/>
        <v>97.01</v>
      </c>
      <c r="M10" s="11" t="str">
        <f>IF(SUM(U10,AC10,AK10,AS10)&lt;=0,"-",SUM(U10,AC10,AK10,AS10))</f>
        <v>-</v>
      </c>
      <c r="N10" s="11" t="str">
        <f t="shared" si="18"/>
        <v>-</v>
      </c>
      <c r="O10" s="11">
        <f>IF(SUM(W10,AE10,AM10,AU10)&lt;=0,"-",SUM(W10,AE10,AM10,AU10))</f>
        <v>7.1310000000000002</v>
      </c>
      <c r="P10" s="11" t="str">
        <f t="shared" si="18"/>
        <v>-</v>
      </c>
      <c r="Q10" s="11">
        <f>IF(SUM(Y10,AG10,AO10,AW10)&lt;=0,"-",SUM(Y10,AG10,AO10,AW10))</f>
        <v>370.58499999999998</v>
      </c>
      <c r="S10" s="11">
        <v>152.947</v>
      </c>
      <c r="T10" s="11">
        <v>26.292000000000002</v>
      </c>
      <c r="U10" s="11"/>
      <c r="V10" s="33"/>
      <c r="W10" s="33">
        <v>3</v>
      </c>
      <c r="X10" s="33"/>
      <c r="Y10" s="31">
        <f>SUM(S10:T10,W10:X10)</f>
        <v>182.239</v>
      </c>
      <c r="Z10" s="31"/>
      <c r="AA10" s="33">
        <f>2.387+6.098</f>
        <v>8.4849999999999994</v>
      </c>
      <c r="AB10" s="33">
        <f>1.321+3.165</f>
        <v>4.4859999999999998</v>
      </c>
      <c r="AC10" s="33"/>
      <c r="AD10" s="33"/>
      <c r="AE10" s="33">
        <f>0.734+0.11</f>
        <v>0.84399999999999997</v>
      </c>
      <c r="AF10" s="33"/>
      <c r="AG10" s="65">
        <f t="shared" si="4"/>
        <v>13.815</v>
      </c>
      <c r="AH10" s="31"/>
      <c r="AI10" s="33">
        <f>105.012-39.133-9.436</f>
        <v>56.442999999999991</v>
      </c>
      <c r="AJ10" s="33">
        <f>66.232-3.789-0.001</f>
        <v>62.442</v>
      </c>
      <c r="AK10" s="33"/>
      <c r="AL10" s="33"/>
      <c r="AM10" s="33">
        <f>3.287-0.01-0.006</f>
        <v>3.2710000000000004</v>
      </c>
      <c r="AN10" s="33"/>
      <c r="AO10" s="31">
        <f t="shared" si="5"/>
        <v>122.15599999999999</v>
      </c>
      <c r="AP10" s="31"/>
      <c r="AQ10" s="33">
        <f>39.133+9.436</f>
        <v>48.569000000000003</v>
      </c>
      <c r="AR10" s="33">
        <f>3.789+0.001</f>
        <v>3.79</v>
      </c>
      <c r="AS10" s="33"/>
      <c r="AT10" s="33"/>
      <c r="AU10" s="33">
        <f>0.01+0.006</f>
        <v>1.6E-2</v>
      </c>
      <c r="AV10" s="33"/>
      <c r="AW10" s="31">
        <f t="shared" si="6"/>
        <v>52.375</v>
      </c>
      <c r="AX10" s="31"/>
      <c r="AY10" s="30" t="s">
        <v>34</v>
      </c>
      <c r="AZ10" s="30" t="s">
        <v>34</v>
      </c>
      <c r="BA10" s="30" t="s">
        <v>34</v>
      </c>
      <c r="BB10" s="30" t="s">
        <v>34</v>
      </c>
      <c r="BC10" s="30" t="s">
        <v>34</v>
      </c>
      <c r="BD10" s="30" t="s">
        <v>34</v>
      </c>
      <c r="BE10" s="31">
        <f t="shared" si="7"/>
        <v>0</v>
      </c>
      <c r="BF10" s="31"/>
      <c r="BG10" s="11">
        <f t="shared" si="19"/>
        <v>469</v>
      </c>
      <c r="BH10" s="11">
        <f t="shared" si="19"/>
        <v>3025</v>
      </c>
      <c r="BI10" s="11">
        <f t="shared" si="20"/>
        <v>2860</v>
      </c>
      <c r="BJ10" s="11" t="str">
        <f t="shared" si="20"/>
        <v>-</v>
      </c>
      <c r="BK10" s="11">
        <f t="shared" si="20"/>
        <v>6354</v>
      </c>
      <c r="BM10" s="11">
        <f t="shared" si="21"/>
        <v>469</v>
      </c>
      <c r="BN10" s="11">
        <f t="shared" si="21"/>
        <v>3025</v>
      </c>
      <c r="BO10" s="11">
        <f t="shared" si="22"/>
        <v>2860</v>
      </c>
      <c r="BP10" s="11" t="str">
        <f t="shared" si="22"/>
        <v>-</v>
      </c>
      <c r="BQ10" s="11">
        <f t="shared" si="22"/>
        <v>6354</v>
      </c>
      <c r="BS10" s="33">
        <v>34</v>
      </c>
      <c r="BT10" s="33">
        <v>292</v>
      </c>
      <c r="BU10" s="33"/>
      <c r="BV10" s="33"/>
      <c r="BW10" s="33">
        <v>706</v>
      </c>
      <c r="BX10" s="33"/>
      <c r="BY10" s="31">
        <f>SUM(BS10:BT10,BW10:BX10)</f>
        <v>1032</v>
      </c>
      <c r="BZ10" s="31"/>
      <c r="CA10" s="29">
        <f>47+97</f>
        <v>144</v>
      </c>
      <c r="CB10" s="29">
        <f>243+475</f>
        <v>718</v>
      </c>
      <c r="CC10" s="33"/>
      <c r="CD10" s="33"/>
      <c r="CE10" s="29">
        <f>86+612</f>
        <v>698</v>
      </c>
      <c r="CF10" s="33"/>
      <c r="CG10" s="31">
        <f>SUM(CA10:CB10,CE10:CF10)</f>
        <v>1560</v>
      </c>
      <c r="CH10" s="31"/>
      <c r="CI10" s="29">
        <f>291-22-10</f>
        <v>259</v>
      </c>
      <c r="CJ10" s="29">
        <f>2015-69</f>
        <v>1946</v>
      </c>
      <c r="CK10" s="33"/>
      <c r="CL10" s="33"/>
      <c r="CM10" s="29">
        <f>1456-5</f>
        <v>1451</v>
      </c>
      <c r="CN10" s="33"/>
      <c r="CO10" s="31">
        <f>SUM(CI10:CJ10,CM10:CN10)</f>
        <v>3656</v>
      </c>
      <c r="CP10" s="31"/>
      <c r="CQ10" s="29">
        <f>22+10</f>
        <v>32</v>
      </c>
      <c r="CR10" s="29">
        <v>69</v>
      </c>
      <c r="CS10" s="33"/>
      <c r="CT10" s="33"/>
      <c r="CU10" s="29">
        <v>5</v>
      </c>
      <c r="CV10" s="33"/>
      <c r="CW10" s="31">
        <f>SUM(CQ10:CR10,CU10:CV10)</f>
        <v>106</v>
      </c>
      <c r="CX10" s="31"/>
      <c r="CY10" s="33" t="s">
        <v>34</v>
      </c>
      <c r="CZ10" s="33" t="s">
        <v>34</v>
      </c>
      <c r="DA10" s="33" t="s">
        <v>34</v>
      </c>
      <c r="DB10" s="33" t="s">
        <v>34</v>
      </c>
      <c r="DC10" s="33" t="s">
        <v>34</v>
      </c>
      <c r="DD10" s="33" t="s">
        <v>34</v>
      </c>
      <c r="DE10" s="31">
        <f t="shared" si="24"/>
        <v>0</v>
      </c>
      <c r="DF10" s="31"/>
      <c r="DG10" s="36">
        <f t="shared" ref="DG10:DH11" si="59">IF(ISERROR(K10/$Q10),"-",IF(K10/$Q10&lt;=0,"-",K10/$Q10))</f>
        <v>0.71898214984416542</v>
      </c>
      <c r="DH10" s="36">
        <f t="shared" si="59"/>
        <v>0.26177530121294712</v>
      </c>
      <c r="DI10" s="36">
        <f t="shared" ref="DI10:DJ11" si="60">IF(ISERROR(O10/$Q10),"-",IF(O10/$Q10&lt;=0,"-",O10/$Q10))</f>
        <v>1.92425489428876E-2</v>
      </c>
      <c r="DJ10" s="36" t="str">
        <f t="shared" si="60"/>
        <v>-</v>
      </c>
      <c r="DK10" s="31"/>
      <c r="DL10" s="35">
        <f t="shared" ref="DL10:DM11" si="61">IF(ISERROR(S10/$Y10),"-",IF(S10/$Y10&lt;=0,"-",S10/$Y10))</f>
        <v>0.83926601879948859</v>
      </c>
      <c r="DM10" s="35">
        <f t="shared" si="61"/>
        <v>0.14427208226559629</v>
      </c>
      <c r="DN10" s="35">
        <f>IF(ISERROR(W10/$Y10),"-",IF(W10/$Y10&lt;=0,"-",W10/$Y10))</f>
        <v>1.6461898934915137E-2</v>
      </c>
      <c r="DO10" s="35" t="str">
        <f t="shared" ref="DN10:DO11" si="62">IF(ISERROR(X10/$Y10),"-",IF(X10/$Y10&lt;=0,"-",X10/$Y10))</f>
        <v>-</v>
      </c>
      <c r="DP10" s="31"/>
      <c r="DQ10" s="35">
        <f t="shared" ref="DQ10:DR11" si="63">IF(ISERROR(AA10/$AG10),"-",IF(AA10/$AG10&lt;=0,"-",AA10/$AG10))</f>
        <v>0.61418747737965973</v>
      </c>
      <c r="DR10" s="35">
        <f t="shared" si="63"/>
        <v>0.32471950778139702</v>
      </c>
      <c r="DS10" s="35">
        <f t="shared" ref="DS10:DT11" si="64">IF(ISERROR(AE10/$AG10),"-",IF(AE10/$AG10&lt;=0,"-",AE10/$AG10))</f>
        <v>6.109301483894318E-2</v>
      </c>
      <c r="DT10" s="35" t="str">
        <f t="shared" si="64"/>
        <v>-</v>
      </c>
      <c r="DU10" s="31"/>
      <c r="DV10" s="35">
        <f t="shared" ref="DV10:DW11" si="65">IF(ISERROR(AI10/$AO10),"-",IF(AI10/$AO10&lt;=0,"-",AI10/$AO10))</f>
        <v>0.46205671436523787</v>
      </c>
      <c r="DW10" s="35">
        <f t="shared" si="65"/>
        <v>0.51116604996889226</v>
      </c>
      <c r="DX10" s="35">
        <f t="shared" ref="DX10:DY11" si="66">IF(ISERROR(AM10/$AM10),"-",IF(AM10/$AO10&lt;=0,"-",AM10/$AO10))</f>
        <v>2.6777235665869877E-2</v>
      </c>
      <c r="DY10" s="35" t="str">
        <f t="shared" si="66"/>
        <v>-</v>
      </c>
      <c r="DZ10" s="31"/>
      <c r="EA10" s="35">
        <f t="shared" ref="EA10:EB11" si="67">IF(ISERROR(AQ10/$AW10),"-",IF(AQ10/$AW10&lt;=0,"-",AQ10/$AW10))</f>
        <v>0.92733174224343684</v>
      </c>
      <c r="EB10" s="35">
        <f t="shared" si="67"/>
        <v>7.2362768496420052E-2</v>
      </c>
      <c r="EC10" s="35">
        <f t="shared" ref="EC10:ED11" si="68">IF(ISERROR(AU10/$AW10),"-",IF(AU10/$AW10&lt;=0,"-",AU10/$AW10))</f>
        <v>3.054892601431981E-4</v>
      </c>
      <c r="ED10" s="35" t="str">
        <f t="shared" si="68"/>
        <v>-</v>
      </c>
      <c r="EE10" s="31"/>
      <c r="EF10" s="37">
        <f t="shared" ref="EF10:EF11" si="69">IF(ISERROR(V10/T10),"-",V10/T10)</f>
        <v>0</v>
      </c>
      <c r="EG10" s="37">
        <f t="shared" ref="EG10:EG11" si="70">IF(ISERROR(AD10/AB10),"-",AD10/AB10)</f>
        <v>0</v>
      </c>
      <c r="EH10" s="37">
        <f t="shared" ref="EH10:EH11" si="71">IF(ISERROR(AL10/AJ10),"-",AL10/AJ10)</f>
        <v>0</v>
      </c>
      <c r="EI10" s="37">
        <f t="shared" ref="EI10:EI11" si="72">IF(ISERROR(AT10/AR10),"-",AT10/AR10)</f>
        <v>0</v>
      </c>
      <c r="EJ10" s="37" t="str">
        <f t="shared" ref="EJ10:EJ11" si="73">IF(ISERROR(N10/L10),"-",N10/L10)</f>
        <v>-</v>
      </c>
      <c r="EK10" s="31"/>
      <c r="EL10" s="38">
        <f t="shared" ref="EL10:EM11" si="74">IF(ISERROR(BM10/K10/1000),"-",IF((BM10/K10/1000)&lt;=0,"-",BM10/K10/1000))</f>
        <v>1.7602197835192384E-3</v>
      </c>
      <c r="EM10" s="39">
        <f t="shared" si="74"/>
        <v>3.1182352334810842E-2</v>
      </c>
      <c r="EN10" s="40">
        <f t="shared" ref="EN10:EP11" si="75">IF(ISERROR(BO10/O10/1000),"-",IF((BO10/O10/1000)&lt;=0,"-",BO10/O10/1000))</f>
        <v>0.40106576917683356</v>
      </c>
      <c r="EO10" s="38" t="str">
        <f t="shared" si="75"/>
        <v>-</v>
      </c>
      <c r="EP10" s="38">
        <f t="shared" si="75"/>
        <v>1.7145863971828327E-2</v>
      </c>
      <c r="ER10" s="38">
        <f t="shared" ref="ER10:ES11" si="76">IF(OR(BS10=0,S10=0),"-",IF(ISERROR(BS10/S10/1000),"-",IF((BS10/S10/1000)&lt;=0,"-",BS10/S10/1000)))</f>
        <v>2.2229922783709388E-4</v>
      </c>
      <c r="ES10" s="41">
        <f t="shared" si="76"/>
        <v>1.110603986003347E-2</v>
      </c>
      <c r="ET10" s="41">
        <f>IF(OR(BW10=0,W10=0),"-",IF(ISERROR(BW10/W10/1000),"-",IF((BW10/W10/1000)&lt;=0,"-",BW10/W10/1000)))</f>
        <v>0.23533333333333334</v>
      </c>
      <c r="EU10" s="41" t="str">
        <f t="shared" ref="ET10:EV11" si="77">IF(OR(BX10=0,X10=0),"-",IF(ISERROR(BX10/X10/1000),"-",IF((BX10/X10/1000)&lt;=0,"-",BX10/X10/1000)))</f>
        <v>-</v>
      </c>
      <c r="EV10" s="41">
        <f t="shared" si="77"/>
        <v>5.6628932336108074E-3</v>
      </c>
      <c r="EW10" s="31"/>
      <c r="EX10" s="38">
        <f t="shared" ref="EX10:EY11" si="78">IF(OR(CA10=0,AA10=0),"-",IF(ISERROR(CA10/AA10/1000),"-",IF((CA10/AA10/1000)&lt;=0,"-",CA10/AA10/1000)))</f>
        <v>1.6971125515615793E-2</v>
      </c>
      <c r="EY10" s="41">
        <f t="shared" si="78"/>
        <v>0.16005349977708427</v>
      </c>
      <c r="EZ10" s="41">
        <f t="shared" ref="EZ10:FB11" si="79">IF(OR(CE10=0,AE10=0),"-",IF(ISERROR(CE10/AE10/1000),"-",IF((CE10/AE10/1000)&lt;=0,"-",CE10/AE10/1000)))</f>
        <v>0.82701421800947872</v>
      </c>
      <c r="FA10" s="41" t="str">
        <f t="shared" si="79"/>
        <v>-</v>
      </c>
      <c r="FB10" s="41">
        <f t="shared" si="79"/>
        <v>0.11292073832790446</v>
      </c>
      <c r="FC10" s="31"/>
      <c r="FD10" s="38">
        <f t="shared" ref="FD10:FE11" si="80">IF(OR(CI10=0,AI10=0),"-",IF(ISERROR(CI10/AI10/1000),"-",IF((CI10/AI10/1000)&lt;=0,"-",CI10/AI10/1000)))</f>
        <v>4.5887001045302345E-3</v>
      </c>
      <c r="FE10" s="41">
        <f t="shared" si="80"/>
        <v>3.1164921046731364E-2</v>
      </c>
      <c r="FF10" s="41">
        <f t="shared" ref="FF10:FH11" si="81">IF(OR(CM10=0,AM10=0),"-",IF(ISERROR(CM10/AM10/1000),"-",IF((CM10/AM10/1000)&lt;=0,"-",CM10/AM10/1000)))</f>
        <v>0.44359523081626406</v>
      </c>
      <c r="FG10" s="41" t="str">
        <f t="shared" si="81"/>
        <v>-</v>
      </c>
      <c r="FH10" s="41">
        <f t="shared" si="81"/>
        <v>2.992894331837978E-2</v>
      </c>
      <c r="FI10" s="31"/>
      <c r="FJ10" s="38">
        <f t="shared" ref="FJ10:FK11" si="82">IF(OR(CQ10=0,AQ10=0),"-",IF(ISERROR(CQ10/AQ10/1000),"-",IF((CQ10/AQ10/1000)&lt;=0,"-",CQ10/AQ10/1000)))</f>
        <v>6.5885647223537644E-4</v>
      </c>
      <c r="FK10" s="38">
        <f t="shared" si="82"/>
        <v>1.820580474934037E-2</v>
      </c>
      <c r="FL10" s="38">
        <f t="shared" ref="FL10:FN11" si="83">IF(OR(CU10=0,AU10=0),"-",IF(ISERROR(CU10/AU10/1000),"-",IF((CU10/AU10/1000)&lt;=0,"-",CU10/AU10/1000)))</f>
        <v>0.3125</v>
      </c>
      <c r="FM10" s="38" t="str">
        <f t="shared" si="83"/>
        <v>-</v>
      </c>
      <c r="FN10" s="38">
        <f t="shared" si="83"/>
        <v>2.023866348448687E-3</v>
      </c>
      <c r="FP10" s="33">
        <f>129+107</f>
        <v>236</v>
      </c>
      <c r="FQ10" s="33">
        <f>163+365</f>
        <v>528</v>
      </c>
      <c r="FR10" s="33">
        <f>424+61+1305+40</f>
        <v>1830</v>
      </c>
      <c r="FS10" s="33">
        <f>2858-FR10-FQ10-FP10</f>
        <v>264</v>
      </c>
      <c r="FT10" s="47">
        <v>2858</v>
      </c>
      <c r="FV10" s="43">
        <f t="shared" ref="FV10:FV11" si="84">IF(ISERROR(FP10/$Y10/1000),"-",IF(FP10/$Y10/1000=0,"-",FP10/$Y10/1000))</f>
        <v>1.2950027162133243E-3</v>
      </c>
      <c r="FW10" s="43">
        <f t="shared" ref="FW10:FW11" si="85">IF(ISERROR(FQ10/$AG10/1000),"-",IF(FQ10/$AG10/1000=0,"-",FQ10/$AG10/1000))</f>
        <v>3.8219326818675355E-2</v>
      </c>
      <c r="FX10" s="43">
        <f t="shared" ref="FX10:FX11" si="86">IF(ISERROR(FR10/$AO10/1000),"-",IF(FR10/$AO10/1000=0,"-",FR10/$AO10/1000))</f>
        <v>1.4980844166475656E-2</v>
      </c>
      <c r="FY10" s="43">
        <f t="shared" ref="FY10:FY11" si="87">IF(ISERROR(FS10/$AW10/1000),"-",IF(FS10/$AW10/1000=0,"-",FS10/$AW10/1000))</f>
        <v>5.0405727923627684E-3</v>
      </c>
      <c r="FZ10" s="43">
        <f t="shared" ref="FZ10:FZ11" si="88">IF(ISERROR(FT10/$Q10/1000),"-",IF(FT10/$Q10/1000=0,"-",FT10/$Q10/1000))</f>
        <v>7.7121308201897002E-3</v>
      </c>
      <c r="GB10" s="46">
        <f>8+158</f>
        <v>166</v>
      </c>
      <c r="GC10" s="46">
        <f>49+61</f>
        <v>110</v>
      </c>
      <c r="GD10" s="46">
        <f>15+53+51+4</f>
        <v>123</v>
      </c>
      <c r="GE10" s="46">
        <v>7</v>
      </c>
      <c r="GF10" s="27">
        <f t="shared" si="53"/>
        <v>406</v>
      </c>
      <c r="GH10" s="43">
        <f t="shared" ref="GH10:GH11" si="89">IF(ISERROR(GB10/$Y10/1000),"-",IF(GB10/$Y10/1000=0,"-",GB10/$Y10/1000))</f>
        <v>9.1089174106530433E-4</v>
      </c>
      <c r="GI10" s="43">
        <f t="shared" ref="GI10:GI11" si="90">IF(ISERROR(GC10/$AG10/1000),"-",IF(GC10/$AG10/1000=0,"-",GC10/$AG10/1000))</f>
        <v>7.9623597538906986E-3</v>
      </c>
      <c r="GJ10" s="43">
        <f t="shared" ref="GJ10:GJ11" si="91">IF(ISERROR(GD10/$AO10/1000),"-",IF(GD10/$AO10/1000=0,"-",GD10/$AO10/1000))</f>
        <v>1.0069091980745932E-3</v>
      </c>
      <c r="GK10" s="43">
        <f t="shared" ref="GK10:GK11" si="92">IF(ISERROR(GE10/$AW10/1000),"-",IF(GE10/$AW10/1000=0,"-",GE10/$AW10/1000))</f>
        <v>1.3365155131264916E-4</v>
      </c>
      <c r="GL10" s="43">
        <f t="shared" ref="GL10:GL11" si="93">IF(ISERROR(GF10/$Q10/1000),"-",IF(GF10/$Q10/1000=0,"-",GF10/$Q10/1000))</f>
        <v>1.0955651200129527E-3</v>
      </c>
    </row>
    <row r="11" spans="1:197" s="72" customFormat="1" x14ac:dyDescent="0.25">
      <c r="A11" s="66" t="s">
        <v>37</v>
      </c>
      <c r="B11" s="66"/>
      <c r="C11" s="67">
        <f t="shared" si="0"/>
        <v>316.31199999999995</v>
      </c>
      <c r="D11" s="67">
        <f t="shared" si="0"/>
        <v>8.5709999999999997</v>
      </c>
      <c r="E11" s="67">
        <f t="shared" si="0"/>
        <v>16.561999999999998</v>
      </c>
      <c r="F11" s="67">
        <f t="shared" si="0"/>
        <v>0.61</v>
      </c>
      <c r="G11" s="67">
        <f t="shared" si="0"/>
        <v>8.875</v>
      </c>
      <c r="H11" s="67" t="str">
        <f t="shared" si="0"/>
        <v>-</v>
      </c>
      <c r="I11" s="67">
        <f t="shared" si="0"/>
        <v>333.75800000000004</v>
      </c>
      <c r="J11" s="67"/>
      <c r="K11" s="67">
        <f t="shared" si="18"/>
        <v>300.42399999999998</v>
      </c>
      <c r="L11" s="67">
        <f t="shared" si="18"/>
        <v>8.3230000000000004</v>
      </c>
      <c r="M11" s="67">
        <f t="shared" si="18"/>
        <v>16.561999999999998</v>
      </c>
      <c r="N11" s="67">
        <f t="shared" si="18"/>
        <v>0.61</v>
      </c>
      <c r="O11" s="67">
        <f t="shared" si="18"/>
        <v>8.8219999999999992</v>
      </c>
      <c r="P11" s="67" t="str">
        <f t="shared" si="18"/>
        <v>-</v>
      </c>
      <c r="Q11" s="67">
        <f t="shared" si="18"/>
        <v>317.56900000000002</v>
      </c>
      <c r="R11" s="67"/>
      <c r="S11" s="68">
        <f>74910/1000</f>
        <v>74.91</v>
      </c>
      <c r="T11" s="68">
        <f>2618/1000</f>
        <v>2.6179999999999999</v>
      </c>
      <c r="U11" s="68" t="s">
        <v>34</v>
      </c>
      <c r="V11" s="68" t="s">
        <v>34</v>
      </c>
      <c r="W11" s="68">
        <f>515/1000</f>
        <v>0.51500000000000001</v>
      </c>
      <c r="X11" s="64">
        <v>0</v>
      </c>
      <c r="Y11" s="64">
        <f t="shared" si="3"/>
        <v>78.042999999999992</v>
      </c>
      <c r="Z11" s="64"/>
      <c r="AA11" s="68">
        <f>((101523+12599)/1000)-S11</f>
        <v>39.212000000000003</v>
      </c>
      <c r="AB11" s="64">
        <f>((3515+199)/1000)-T11</f>
        <v>1.0960000000000001</v>
      </c>
      <c r="AC11" s="68">
        <f>(406+0)/1000</f>
        <v>0.40600000000000003</v>
      </c>
      <c r="AD11" s="68">
        <f>(479+4)/1000</f>
        <v>0.48299999999999998</v>
      </c>
      <c r="AE11" s="64">
        <f>(1067+372)/1000-W11</f>
        <v>0.92400000000000004</v>
      </c>
      <c r="AF11" s="64">
        <v>0</v>
      </c>
      <c r="AG11" s="64">
        <f t="shared" si="4"/>
        <v>41.232000000000006</v>
      </c>
      <c r="AH11" s="64"/>
      <c r="AI11" s="64">
        <f>(20916)/1000</f>
        <v>20.916</v>
      </c>
      <c r="AJ11" s="64">
        <f>(4256)/1000</f>
        <v>4.2560000000000002</v>
      </c>
      <c r="AK11" s="68">
        <f>119/1000</f>
        <v>0.11899999999999999</v>
      </c>
      <c r="AL11" s="68">
        <f>34/1000</f>
        <v>3.4000000000000002E-2</v>
      </c>
      <c r="AM11" s="64">
        <f>(2004)/1000</f>
        <v>2.004</v>
      </c>
      <c r="AN11" s="64">
        <v>0</v>
      </c>
      <c r="AO11" s="64">
        <f t="shared" si="5"/>
        <v>27.176000000000002</v>
      </c>
      <c r="AP11" s="64"/>
      <c r="AQ11" s="64">
        <f>(50146+97794+17446)/1000</f>
        <v>165.386</v>
      </c>
      <c r="AR11" s="68">
        <f>(349+4)/1000</f>
        <v>0.35299999999999998</v>
      </c>
      <c r="AS11" s="68">
        <f>(0+272+15765+0)/1000</f>
        <v>16.036999999999999</v>
      </c>
      <c r="AT11" s="68">
        <f>(35+58+0)/1000</f>
        <v>9.2999999999999999E-2</v>
      </c>
      <c r="AU11" s="64">
        <f>(13+2+5364)/1000</f>
        <v>5.3789999999999996</v>
      </c>
      <c r="AV11" s="64">
        <v>0</v>
      </c>
      <c r="AW11" s="64">
        <f t="shared" si="6"/>
        <v>171.11799999999999</v>
      </c>
      <c r="AX11" s="64"/>
      <c r="AY11" s="68">
        <f>15888/1000</f>
        <v>15.888</v>
      </c>
      <c r="AZ11" s="68">
        <f>248/1000</f>
        <v>0.248</v>
      </c>
      <c r="BA11" s="33" t="s">
        <v>34</v>
      </c>
      <c r="BB11" s="33" t="s">
        <v>34</v>
      </c>
      <c r="BC11" s="68">
        <f>53/1000</f>
        <v>5.2999999999999999E-2</v>
      </c>
      <c r="BD11" s="68">
        <v>0</v>
      </c>
      <c r="BE11" s="64">
        <f t="shared" si="7"/>
        <v>16.189</v>
      </c>
      <c r="BF11" s="64"/>
      <c r="BG11" s="67">
        <f t="shared" si="19"/>
        <v>552</v>
      </c>
      <c r="BH11" s="67">
        <f t="shared" si="19"/>
        <v>840</v>
      </c>
      <c r="BI11" s="67">
        <f t="shared" si="20"/>
        <v>5497</v>
      </c>
      <c r="BJ11" s="67" t="str">
        <f t="shared" si="20"/>
        <v>-</v>
      </c>
      <c r="BK11" s="67">
        <f>IF(SUM(BY11,CG11,CO11,DE11,CW11)&lt;=0,"-",SUM(BY11,CG11,CO11,DE11,CW11))</f>
        <v>6889</v>
      </c>
      <c r="BL11" s="67"/>
      <c r="BM11" s="67">
        <f t="shared" si="21"/>
        <v>536</v>
      </c>
      <c r="BN11" s="67">
        <f t="shared" si="21"/>
        <v>836</v>
      </c>
      <c r="BO11" s="67">
        <f t="shared" si="22"/>
        <v>5467</v>
      </c>
      <c r="BP11" s="67" t="str">
        <f t="shared" si="22"/>
        <v>-</v>
      </c>
      <c r="BQ11" s="67">
        <f t="shared" si="22"/>
        <v>6839</v>
      </c>
      <c r="BR11" s="67"/>
      <c r="BS11" s="68">
        <f>21</f>
        <v>21</v>
      </c>
      <c r="BT11" s="68">
        <f>21</f>
        <v>21</v>
      </c>
      <c r="BU11" s="68" t="s">
        <v>34</v>
      </c>
      <c r="BV11" s="68" t="s">
        <v>34</v>
      </c>
      <c r="BW11" s="68">
        <f>177</f>
        <v>177</v>
      </c>
      <c r="BX11" s="68">
        <v>0</v>
      </c>
      <c r="BY11" s="64">
        <f t="shared" ref="BY11" si="94">SUM(BS11:BT11,BW11:BX11)</f>
        <v>219</v>
      </c>
      <c r="BZ11" s="64"/>
      <c r="CA11" s="68">
        <f>((371+11))-BS11</f>
        <v>361</v>
      </c>
      <c r="CB11" s="64">
        <f>((242+0)-BT11)</f>
        <v>221</v>
      </c>
      <c r="CC11" s="68">
        <f>(74+0)</f>
        <v>74</v>
      </c>
      <c r="CD11" s="68">
        <f>(69+0)</f>
        <v>69</v>
      </c>
      <c r="CE11" s="64">
        <f>((492+158))-BW11</f>
        <v>473</v>
      </c>
      <c r="CF11" s="64">
        <v>0</v>
      </c>
      <c r="CG11" s="64">
        <f>SUM(CA11:CB11,CE11:CF11)</f>
        <v>1055</v>
      </c>
      <c r="CH11" s="64"/>
      <c r="CI11" s="68">
        <f>31</f>
        <v>31</v>
      </c>
      <c r="CJ11" s="68">
        <f>114</f>
        <v>114</v>
      </c>
      <c r="CK11" s="68"/>
      <c r="CL11" s="68"/>
      <c r="CM11" s="68">
        <f>1476</f>
        <v>1476</v>
      </c>
      <c r="CN11" s="68">
        <v>0</v>
      </c>
      <c r="CO11" s="64">
        <f>SUM(CI11:CJ11,CM11:CN11)</f>
        <v>1621</v>
      </c>
      <c r="CP11" s="64"/>
      <c r="CQ11" s="64">
        <f>(3+1+43+14+62)</f>
        <v>123</v>
      </c>
      <c r="CR11" s="68">
        <f>(2+0+38+16+424)</f>
        <v>480</v>
      </c>
      <c r="CS11" s="68">
        <f>(0+0+0)</f>
        <v>0</v>
      </c>
      <c r="CT11" s="68">
        <f>(0+0+0+0)</f>
        <v>0</v>
      </c>
      <c r="CU11" s="64">
        <f>(4+2+0+206+3129)</f>
        <v>3341</v>
      </c>
      <c r="CV11" s="64">
        <v>0</v>
      </c>
      <c r="CW11" s="64">
        <f t="shared" ref="CW11" si="95">SUM(CQ11:CR11,CU11:CV11)</f>
        <v>3944</v>
      </c>
      <c r="CX11" s="64"/>
      <c r="CY11" s="68">
        <f>(16+0)</f>
        <v>16</v>
      </c>
      <c r="CZ11" s="68">
        <f>(4+0)</f>
        <v>4</v>
      </c>
      <c r="DA11" s="33" t="s">
        <v>34</v>
      </c>
      <c r="DB11" s="33" t="s">
        <v>34</v>
      </c>
      <c r="DC11" s="68">
        <f>(30+0)</f>
        <v>30</v>
      </c>
      <c r="DD11" s="68">
        <v>0</v>
      </c>
      <c r="DE11" s="31">
        <f t="shared" si="24"/>
        <v>50</v>
      </c>
      <c r="DF11" s="64"/>
      <c r="DG11" s="36">
        <f t="shared" si="59"/>
        <v>0.94601173288324725</v>
      </c>
      <c r="DH11" s="36">
        <f t="shared" si="59"/>
        <v>2.6208477527718387E-2</v>
      </c>
      <c r="DI11" s="36">
        <f t="shared" si="60"/>
        <v>2.7779789589034189E-2</v>
      </c>
      <c r="DJ11" s="36" t="str">
        <f t="shared" si="60"/>
        <v>-</v>
      </c>
      <c r="DK11" s="64"/>
      <c r="DL11" s="35">
        <f t="shared" si="61"/>
        <v>0.95985546429532442</v>
      </c>
      <c r="DM11" s="35">
        <f t="shared" si="61"/>
        <v>3.3545609471701501E-2</v>
      </c>
      <c r="DN11" s="35">
        <f t="shared" si="62"/>
        <v>6.5989262329741302E-3</v>
      </c>
      <c r="DO11" s="35" t="str">
        <f t="shared" si="62"/>
        <v>-</v>
      </c>
      <c r="DP11" s="64"/>
      <c r="DQ11" s="35">
        <f t="shared" si="63"/>
        <v>0.9510089251067132</v>
      </c>
      <c r="DR11" s="35">
        <f t="shared" si="63"/>
        <v>2.6581296080714006E-2</v>
      </c>
      <c r="DS11" s="35">
        <f t="shared" si="64"/>
        <v>2.2409778812572757E-2</v>
      </c>
      <c r="DT11" s="35" t="str">
        <f t="shared" si="64"/>
        <v>-</v>
      </c>
      <c r="DU11" s="64"/>
      <c r="DV11" s="35">
        <f t="shared" si="65"/>
        <v>0.76964969090373858</v>
      </c>
      <c r="DW11" s="35">
        <f t="shared" si="65"/>
        <v>0.15660877244627613</v>
      </c>
      <c r="DX11" s="35">
        <f t="shared" si="66"/>
        <v>7.374153664998527E-2</v>
      </c>
      <c r="DY11" s="35" t="str">
        <f t="shared" si="66"/>
        <v>-</v>
      </c>
      <c r="DZ11" s="64"/>
      <c r="EA11" s="35">
        <f t="shared" si="67"/>
        <v>0.96650264729601798</v>
      </c>
      <c r="EB11" s="35">
        <f t="shared" si="67"/>
        <v>2.062903961009362E-3</v>
      </c>
      <c r="EC11" s="35">
        <f t="shared" si="68"/>
        <v>3.1434448742972687E-2</v>
      </c>
      <c r="ED11" s="35" t="str">
        <f t="shared" si="68"/>
        <v>-</v>
      </c>
      <c r="EE11" s="64"/>
      <c r="EF11" s="69" t="str">
        <f t="shared" si="69"/>
        <v>-</v>
      </c>
      <c r="EG11" s="69">
        <f t="shared" si="70"/>
        <v>0.44069343065693428</v>
      </c>
      <c r="EH11" s="69">
        <f t="shared" si="71"/>
        <v>7.9887218045112778E-3</v>
      </c>
      <c r="EI11" s="69">
        <f t="shared" si="72"/>
        <v>0.26345609065155806</v>
      </c>
      <c r="EJ11" s="69">
        <f t="shared" si="73"/>
        <v>7.329088069205815E-2</v>
      </c>
      <c r="EK11" s="64"/>
      <c r="EL11" s="70">
        <f t="shared" si="74"/>
        <v>1.7841450749607223E-3</v>
      </c>
      <c r="EM11" s="70">
        <f t="shared" si="74"/>
        <v>0.100444551243542</v>
      </c>
      <c r="EN11" s="70">
        <f t="shared" si="75"/>
        <v>0.61970074812967579</v>
      </c>
      <c r="EO11" s="70" t="str">
        <f t="shared" si="75"/>
        <v>-</v>
      </c>
      <c r="EP11" s="70">
        <f t="shared" si="75"/>
        <v>2.1535477329336299E-2</v>
      </c>
      <c r="EQ11" s="67"/>
      <c r="ER11" s="70">
        <f t="shared" si="76"/>
        <v>2.8033640368442129E-4</v>
      </c>
      <c r="ES11" s="71">
        <f t="shared" si="76"/>
        <v>8.0213903743315516E-3</v>
      </c>
      <c r="ET11" s="71">
        <f t="shared" si="77"/>
        <v>0.34368932038834954</v>
      </c>
      <c r="EU11" s="71" t="str">
        <f t="shared" si="77"/>
        <v>-</v>
      </c>
      <c r="EV11" s="71">
        <f t="shared" si="77"/>
        <v>2.8061453301385137E-3</v>
      </c>
      <c r="EW11" s="64"/>
      <c r="EX11" s="70">
        <f t="shared" si="78"/>
        <v>9.2063653983474446E-3</v>
      </c>
      <c r="EY11" s="71">
        <f t="shared" si="78"/>
        <v>0.20164233576642335</v>
      </c>
      <c r="EZ11" s="71">
        <f t="shared" si="79"/>
        <v>0.51190476190476186</v>
      </c>
      <c r="FA11" s="71" t="str">
        <f t="shared" si="79"/>
        <v>-</v>
      </c>
      <c r="FB11" s="71">
        <f t="shared" si="79"/>
        <v>2.5586922778424517E-2</v>
      </c>
      <c r="FC11" s="64"/>
      <c r="FD11" s="70">
        <f t="shared" si="80"/>
        <v>1.48211895199847E-3</v>
      </c>
      <c r="FE11" s="71">
        <f t="shared" si="80"/>
        <v>2.6785714285714284E-2</v>
      </c>
      <c r="FF11" s="71">
        <f t="shared" si="81"/>
        <v>0.73652694610778435</v>
      </c>
      <c r="FG11" s="71" t="str">
        <f t="shared" si="81"/>
        <v>-</v>
      </c>
      <c r="FH11" s="71">
        <f t="shared" si="81"/>
        <v>5.9648219016779504E-2</v>
      </c>
      <c r="FI11" s="64"/>
      <c r="FJ11" s="70">
        <f t="shared" si="82"/>
        <v>7.4371470378387528E-4</v>
      </c>
      <c r="FK11" s="70">
        <f t="shared" si="82"/>
        <v>1.3597733711048159</v>
      </c>
      <c r="FL11" s="70">
        <f t="shared" si="83"/>
        <v>0.62111916713143711</v>
      </c>
      <c r="FM11" s="70" t="str">
        <f t="shared" si="83"/>
        <v>-</v>
      </c>
      <c r="FN11" s="70">
        <f t="shared" si="83"/>
        <v>2.3048422725838312E-2</v>
      </c>
      <c r="FP11" s="68">
        <v>0</v>
      </c>
      <c r="FQ11" s="73">
        <f>543</f>
        <v>543</v>
      </c>
      <c r="FR11" s="73">
        <f>148</f>
        <v>148</v>
      </c>
      <c r="FS11" s="73">
        <f>(19+989)</f>
        <v>1008</v>
      </c>
      <c r="FT11" s="74">
        <f>SUM(FP11:FS11)</f>
        <v>1699</v>
      </c>
      <c r="FV11" s="75" t="str">
        <f t="shared" si="84"/>
        <v>-</v>
      </c>
      <c r="FW11" s="75">
        <f t="shared" si="85"/>
        <v>1.3169383003492432E-2</v>
      </c>
      <c r="FX11" s="75">
        <f t="shared" si="86"/>
        <v>5.4459817486017066E-3</v>
      </c>
      <c r="FY11" s="75">
        <f t="shared" si="87"/>
        <v>5.8906719339870735E-3</v>
      </c>
      <c r="FZ11" s="75">
        <f t="shared" si="88"/>
        <v>5.3500184211935043E-3</v>
      </c>
      <c r="GB11" s="68">
        <v>0</v>
      </c>
      <c r="GC11" s="76">
        <f>330</f>
        <v>330</v>
      </c>
      <c r="GD11" s="76">
        <f>149</f>
        <v>149</v>
      </c>
      <c r="GE11" s="76">
        <f>(0+472)</f>
        <v>472</v>
      </c>
      <c r="GF11" s="77">
        <f>SUM(GB11:GE11)</f>
        <v>951</v>
      </c>
      <c r="GH11" s="75" t="str">
        <f t="shared" si="89"/>
        <v>-</v>
      </c>
      <c r="GI11" s="75">
        <f t="shared" si="90"/>
        <v>8.0034924330616986E-3</v>
      </c>
      <c r="GJ11" s="75">
        <f t="shared" si="91"/>
        <v>5.4827789225787458E-3</v>
      </c>
      <c r="GK11" s="75">
        <f t="shared" si="92"/>
        <v>2.7583305087717246E-3</v>
      </c>
      <c r="GL11" s="75">
        <f t="shared" si="93"/>
        <v>2.994624790203074E-3</v>
      </c>
    </row>
    <row r="12" spans="1:197" x14ac:dyDescent="0.25">
      <c r="AG12" s="78"/>
      <c r="GE12" s="47"/>
    </row>
    <row r="16" spans="1:197" x14ac:dyDescent="0.25">
      <c r="S16" s="79"/>
      <c r="T16" s="79"/>
      <c r="U16" s="80"/>
      <c r="V16" s="80"/>
      <c r="W16" s="77"/>
    </row>
    <row r="18" spans="19:173" x14ac:dyDescent="0.25">
      <c r="S18" s="21"/>
      <c r="T18" s="21"/>
      <c r="U18" s="21"/>
      <c r="V18" s="21"/>
      <c r="W18" s="21"/>
      <c r="X18" s="81"/>
    </row>
    <row r="19" spans="19:173" x14ac:dyDescent="0.25">
      <c r="S19" s="82"/>
      <c r="T19" s="82"/>
      <c r="U19" s="82"/>
      <c r="V19" s="77"/>
      <c r="W19" s="77"/>
      <c r="X19" s="77"/>
    </row>
    <row r="21" spans="19:173" x14ac:dyDescent="0.25">
      <c r="FQ21" s="47"/>
    </row>
  </sheetData>
  <mergeCells count="3">
    <mergeCell ref="GN4:GN5"/>
    <mergeCell ref="GO4:GO5"/>
    <mergeCell ref="BS5:BZ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2Q20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jhkang</dc:creator>
  <cp:lastModifiedBy>jhkang</cp:lastModifiedBy>
  <dcterms:created xsi:type="dcterms:W3CDTF">2021-03-13T11:32:17Z</dcterms:created>
  <dcterms:modified xsi:type="dcterms:W3CDTF">2021-03-13T11:40:16Z</dcterms:modified>
</cp:coreProperties>
</file>