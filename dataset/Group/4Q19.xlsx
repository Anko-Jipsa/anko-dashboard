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hkang\Documents\cra_flask\dataset\Group\"/>
    </mc:Choice>
  </mc:AlternateContent>
  <xr:revisionPtr revIDLastSave="0" documentId="8_{D04E523C-FDFB-47D3-B1CF-6CB78D4E5396}" xr6:coauthVersionLast="45" xr6:coauthVersionMax="45" xr10:uidLastSave="{00000000-0000-0000-0000-000000000000}"/>
  <bookViews>
    <workbookView xWindow="4200" yWindow="1365" windowWidth="12150" windowHeight="15495" xr2:uid="{D0040F83-7156-46AA-B48C-396343AEB438}"/>
  </bookViews>
  <sheets>
    <sheet name="4Q19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E11" i="1" l="1"/>
  <c r="GD11" i="1"/>
  <c r="GC11" i="1"/>
  <c r="FS11" i="1"/>
  <c r="FR11" i="1"/>
  <c r="FQ11" i="1"/>
  <c r="FM11" i="1"/>
  <c r="FG11" i="1"/>
  <c r="FA11" i="1"/>
  <c r="EU11" i="1"/>
  <c r="DC11" i="1"/>
  <c r="CZ11" i="1"/>
  <c r="CY11" i="1"/>
  <c r="CU11" i="1"/>
  <c r="CT11" i="1"/>
  <c r="CS11" i="1"/>
  <c r="CR11" i="1"/>
  <c r="CQ11" i="1"/>
  <c r="CM11" i="1"/>
  <c r="CL11" i="1"/>
  <c r="CK11" i="1"/>
  <c r="CJ11" i="1"/>
  <c r="CI11" i="1"/>
  <c r="CD11" i="1"/>
  <c r="CC11" i="1"/>
  <c r="BW11" i="1"/>
  <c r="CE11" i="1" s="1"/>
  <c r="BT11" i="1"/>
  <c r="CB11" i="1" s="1"/>
  <c r="BS11" i="1"/>
  <c r="CA11" i="1" s="1"/>
  <c r="BP11" i="1"/>
  <c r="BJ11" i="1"/>
  <c r="BC11" i="1"/>
  <c r="AZ11" i="1"/>
  <c r="AY11" i="1"/>
  <c r="AU11" i="1"/>
  <c r="AT11" i="1"/>
  <c r="AS11" i="1"/>
  <c r="AR11" i="1"/>
  <c r="AQ11" i="1"/>
  <c r="AM11" i="1"/>
  <c r="AL11" i="1"/>
  <c r="AK11" i="1"/>
  <c r="AJ11" i="1"/>
  <c r="AI11" i="1"/>
  <c r="AD11" i="1"/>
  <c r="AC11" i="1"/>
  <c r="W11" i="1"/>
  <c r="T11" i="1"/>
  <c r="S11" i="1"/>
  <c r="AA11" i="1" s="1"/>
  <c r="P11" i="1"/>
  <c r="H11" i="1"/>
  <c r="GD10" i="1"/>
  <c r="GC10" i="1"/>
  <c r="FS10" i="1"/>
  <c r="FR10" i="1"/>
  <c r="FQ10" i="1"/>
  <c r="FM10" i="1"/>
  <c r="FG10" i="1"/>
  <c r="FA10" i="1"/>
  <c r="EU10" i="1"/>
  <c r="ET10" i="1"/>
  <c r="ES10" i="1"/>
  <c r="ER10" i="1"/>
  <c r="EF10" i="1"/>
  <c r="DE10" i="1"/>
  <c r="CQ10" i="1"/>
  <c r="CW10" i="1" s="1"/>
  <c r="CM10" i="1"/>
  <c r="CJ10" i="1"/>
  <c r="CI10" i="1"/>
  <c r="CE10" i="1"/>
  <c r="CB10" i="1"/>
  <c r="CA10" i="1"/>
  <c r="BY10" i="1"/>
  <c r="BP10" i="1"/>
  <c r="BJ10" i="1"/>
  <c r="BE10" i="1"/>
  <c r="AU10" i="1"/>
  <c r="FL10" i="1" s="1"/>
  <c r="AR10" i="1"/>
  <c r="FK10" i="1" s="1"/>
  <c r="AQ10" i="1"/>
  <c r="AM10" i="1"/>
  <c r="AL10" i="1"/>
  <c r="AJ10" i="1"/>
  <c r="AI10" i="1"/>
  <c r="AE10" i="1"/>
  <c r="AD10" i="1"/>
  <c r="AB10" i="1"/>
  <c r="AA10" i="1"/>
  <c r="Y10" i="1"/>
  <c r="FV10" i="1" s="1"/>
  <c r="U10" i="1"/>
  <c r="P10" i="1"/>
  <c r="H10" i="1"/>
  <c r="GF9" i="1"/>
  <c r="FS9" i="1"/>
  <c r="FR9" i="1"/>
  <c r="FQ9" i="1"/>
  <c r="FM9" i="1"/>
  <c r="FL9" i="1"/>
  <c r="FK9" i="1"/>
  <c r="FJ9" i="1"/>
  <c r="FG9" i="1"/>
  <c r="FA9" i="1"/>
  <c r="EU9" i="1"/>
  <c r="ET9" i="1"/>
  <c r="ES9" i="1"/>
  <c r="ER9" i="1"/>
  <c r="EI9" i="1"/>
  <c r="EH9" i="1"/>
  <c r="EG9" i="1"/>
  <c r="EF9" i="1"/>
  <c r="DE9" i="1"/>
  <c r="CW9" i="1"/>
  <c r="CM9" i="1"/>
  <c r="FF9" i="1" s="1"/>
  <c r="CJ9" i="1"/>
  <c r="FE9" i="1" s="1"/>
  <c r="CI9" i="1"/>
  <c r="FD9" i="1" s="1"/>
  <c r="CE9" i="1"/>
  <c r="CB9" i="1"/>
  <c r="CA9" i="1"/>
  <c r="BY9" i="1"/>
  <c r="BU9" i="1"/>
  <c r="BP9" i="1"/>
  <c r="BJ9" i="1"/>
  <c r="BE9" i="1"/>
  <c r="AW9" i="1"/>
  <c r="EA9" i="1" s="1"/>
  <c r="AO9" i="1"/>
  <c r="GJ9" i="1" s="1"/>
  <c r="AK9" i="1"/>
  <c r="AG9" i="1"/>
  <c r="DR9" i="1" s="1"/>
  <c r="AC9" i="1"/>
  <c r="Y9" i="1"/>
  <c r="U9" i="1"/>
  <c r="P9" i="1"/>
  <c r="O9" i="1"/>
  <c r="N9" i="1"/>
  <c r="L9" i="1"/>
  <c r="K9" i="1"/>
  <c r="H9" i="1"/>
  <c r="G9" i="1"/>
  <c r="F9" i="1"/>
  <c r="D9" i="1"/>
  <c r="C9" i="1"/>
  <c r="FS8" i="1"/>
  <c r="FQ8" i="1"/>
  <c r="FM8" i="1"/>
  <c r="FG8" i="1"/>
  <c r="FF8" i="1"/>
  <c r="FE8" i="1"/>
  <c r="FD8" i="1"/>
  <c r="FA8" i="1"/>
  <c r="EU8" i="1"/>
  <c r="ET8" i="1"/>
  <c r="ES8" i="1"/>
  <c r="ER8" i="1"/>
  <c r="EH8" i="1"/>
  <c r="EF8" i="1"/>
  <c r="DE8" i="1"/>
  <c r="CU8" i="1"/>
  <c r="CR8" i="1"/>
  <c r="CQ8" i="1"/>
  <c r="CO8" i="1"/>
  <c r="CK8" i="1"/>
  <c r="CE8" i="1"/>
  <c r="CD8" i="1"/>
  <c r="CB8" i="1"/>
  <c r="CA8" i="1"/>
  <c r="BG8" i="1" s="1"/>
  <c r="BY8" i="1"/>
  <c r="BU8" i="1"/>
  <c r="BP8" i="1"/>
  <c r="BJ8" i="1"/>
  <c r="AY8" i="1"/>
  <c r="BE8" i="1" s="1"/>
  <c r="AU8" i="1"/>
  <c r="G8" i="1" s="1"/>
  <c r="AT8" i="1"/>
  <c r="AR8" i="1"/>
  <c r="AQ8" i="1"/>
  <c r="AO8" i="1"/>
  <c r="DW8" i="1" s="1"/>
  <c r="AK8" i="1"/>
  <c r="AE8" i="1"/>
  <c r="AD8" i="1"/>
  <c r="AB8" i="1"/>
  <c r="AA8" i="1"/>
  <c r="Y8" i="1"/>
  <c r="FV8" i="1" s="1"/>
  <c r="U8" i="1"/>
  <c r="P8" i="1"/>
  <c r="H8" i="1"/>
  <c r="FM7" i="1"/>
  <c r="FA7" i="1"/>
  <c r="EU7" i="1"/>
  <c r="ET7" i="1"/>
  <c r="ES7" i="1"/>
  <c r="ER7" i="1"/>
  <c r="EF7" i="1"/>
  <c r="DE7" i="1"/>
  <c r="CU7" i="1"/>
  <c r="CR7" i="1"/>
  <c r="CQ7" i="1"/>
  <c r="CM7" i="1"/>
  <c r="CJ7" i="1"/>
  <c r="CK7" i="1" s="1"/>
  <c r="CI7" i="1"/>
  <c r="CB7" i="1"/>
  <c r="CA7" i="1"/>
  <c r="BY7" i="1"/>
  <c r="BP7" i="1"/>
  <c r="BJ7" i="1"/>
  <c r="BE7" i="1"/>
  <c r="AU7" i="1"/>
  <c r="AT7" i="1"/>
  <c r="N7" i="1" s="1"/>
  <c r="AR7" i="1"/>
  <c r="AQ7" i="1"/>
  <c r="AN7" i="1"/>
  <c r="H7" i="1" s="1"/>
  <c r="AM7" i="1"/>
  <c r="AJ7" i="1"/>
  <c r="EH7" i="1" s="1"/>
  <c r="AI7" i="1"/>
  <c r="AE7" i="1"/>
  <c r="EZ7" i="1" s="1"/>
  <c r="AB7" i="1"/>
  <c r="AA7" i="1"/>
  <c r="Y7" i="1"/>
  <c r="DN7" i="1" s="1"/>
  <c r="EX10" i="1" l="1"/>
  <c r="AC10" i="1"/>
  <c r="FT8" i="1"/>
  <c r="BI8" i="1"/>
  <c r="P7" i="1"/>
  <c r="EO7" i="1" s="1"/>
  <c r="AO11" i="1"/>
  <c r="EO9" i="1"/>
  <c r="EO8" i="1"/>
  <c r="FH8" i="1"/>
  <c r="AS8" i="1"/>
  <c r="K8" i="1"/>
  <c r="EI11" i="1"/>
  <c r="EV8" i="1"/>
  <c r="BM7" i="1"/>
  <c r="N8" i="1"/>
  <c r="BM8" i="1"/>
  <c r="DL8" i="1"/>
  <c r="CG11" i="1"/>
  <c r="DO8" i="1"/>
  <c r="AO7" i="1"/>
  <c r="GJ7" i="1" s="1"/>
  <c r="EI7" i="1"/>
  <c r="C8" i="1"/>
  <c r="AC8" i="1"/>
  <c r="FY9" i="1"/>
  <c r="K10" i="1"/>
  <c r="FT10" i="1"/>
  <c r="G7" i="1"/>
  <c r="BI7" i="1"/>
  <c r="FL8" i="1"/>
  <c r="BM9" i="1"/>
  <c r="GK9" i="1"/>
  <c r="BH8" i="1"/>
  <c r="E9" i="1"/>
  <c r="FE10" i="1"/>
  <c r="GF10" i="1"/>
  <c r="BG7" i="1"/>
  <c r="FL7" i="1"/>
  <c r="EX7" i="1"/>
  <c r="M8" i="1"/>
  <c r="GH8" i="1"/>
  <c r="L7" i="1"/>
  <c r="EJ7" i="1" s="1"/>
  <c r="BH7" i="1"/>
  <c r="DV8" i="1"/>
  <c r="GJ8" i="1"/>
  <c r="EJ9" i="1"/>
  <c r="BG9" i="1"/>
  <c r="EB9" i="1"/>
  <c r="FG7" i="1"/>
  <c r="EV7" i="1"/>
  <c r="FK7" i="1"/>
  <c r="EG8" i="1"/>
  <c r="DY8" i="1"/>
  <c r="M9" i="1"/>
  <c r="DS9" i="1"/>
  <c r="EG10" i="1"/>
  <c r="AS10" i="1"/>
  <c r="EI10" i="1"/>
  <c r="C7" i="1"/>
  <c r="GH7" i="1"/>
  <c r="DT9" i="1"/>
  <c r="GI9" i="1"/>
  <c r="BG10" i="1"/>
  <c r="D8" i="1"/>
  <c r="E8" i="1"/>
  <c r="CL9" i="1"/>
  <c r="CK9" i="1" s="1"/>
  <c r="EC9" i="1"/>
  <c r="AB11" i="1"/>
  <c r="EF11" i="1"/>
  <c r="CO7" i="1"/>
  <c r="DL7" i="1"/>
  <c r="DX7" i="1"/>
  <c r="FE7" i="1"/>
  <c r="DO7" i="1"/>
  <c r="F8" i="1"/>
  <c r="EZ8" i="1"/>
  <c r="DN8" i="1"/>
  <c r="FX8" i="1"/>
  <c r="ED9" i="1"/>
  <c r="F10" i="1"/>
  <c r="EO10" i="1"/>
  <c r="FJ10" i="1"/>
  <c r="FD7" i="1"/>
  <c r="CO9" i="1"/>
  <c r="FN9" i="1"/>
  <c r="ER11" i="1"/>
  <c r="BM11" i="1"/>
  <c r="BY11" i="1"/>
  <c r="AG7" i="1"/>
  <c r="DR7" i="1" s="1"/>
  <c r="K7" i="1"/>
  <c r="FJ7" i="1"/>
  <c r="L8" i="1"/>
  <c r="EJ8" i="1" s="1"/>
  <c r="FJ8" i="1"/>
  <c r="DX8" i="1"/>
  <c r="D10" i="1"/>
  <c r="ET11" i="1"/>
  <c r="FL11" i="1"/>
  <c r="EH11" i="1"/>
  <c r="BE11" i="1"/>
  <c r="DE11" i="1"/>
  <c r="EO11" i="1"/>
  <c r="FK11" i="1"/>
  <c r="ES11" i="1"/>
  <c r="GN7" i="1"/>
  <c r="D7" i="1"/>
  <c r="F7" i="1"/>
  <c r="O7" i="1"/>
  <c r="AS7" i="1"/>
  <c r="DS7" i="1"/>
  <c r="FF7" i="1"/>
  <c r="FV7" i="1"/>
  <c r="EY9" i="1"/>
  <c r="BN9" i="1"/>
  <c r="EM9" i="1" s="1"/>
  <c r="BH9" i="1"/>
  <c r="CD9" i="1"/>
  <c r="CC9" i="1" s="1"/>
  <c r="FK8" i="1"/>
  <c r="CW8" i="1"/>
  <c r="GH9" i="1"/>
  <c r="DL9" i="1"/>
  <c r="GN9" i="1"/>
  <c r="DO9" i="1"/>
  <c r="DM9" i="1"/>
  <c r="Q9" i="1"/>
  <c r="DI9" i="1" s="1"/>
  <c r="BI9" i="1"/>
  <c r="EZ9" i="1"/>
  <c r="BO9" i="1"/>
  <c r="EN9" i="1" s="1"/>
  <c r="I9" i="1"/>
  <c r="AK7" i="1"/>
  <c r="CC8" i="1"/>
  <c r="AW7" i="1"/>
  <c r="BN7" i="1"/>
  <c r="DM7" i="1"/>
  <c r="DW7" i="1"/>
  <c r="EG7" i="1"/>
  <c r="BN8" i="1"/>
  <c r="EI8" i="1"/>
  <c r="EL9" i="1"/>
  <c r="CG7" i="1"/>
  <c r="CS7" i="1"/>
  <c r="DV7" i="1"/>
  <c r="EY7" i="1"/>
  <c r="CS8" i="1"/>
  <c r="BO7" i="1"/>
  <c r="EN7" i="1" s="1"/>
  <c r="CW7" i="1"/>
  <c r="AG8" i="1"/>
  <c r="DR8" i="1" s="1"/>
  <c r="AW8" i="1"/>
  <c r="EB8" i="1" s="1"/>
  <c r="EX8" i="1"/>
  <c r="DN9" i="1"/>
  <c r="EV9" i="1"/>
  <c r="FW9" i="1"/>
  <c r="FT9" i="1"/>
  <c r="FZ9" i="1" s="1"/>
  <c r="DY7" i="1"/>
  <c r="CG8" i="1"/>
  <c r="EY8" i="1"/>
  <c r="DV9" i="1"/>
  <c r="DY9" i="1"/>
  <c r="DW9" i="1"/>
  <c r="FX9" i="1"/>
  <c r="EX9" i="1"/>
  <c r="CG9" i="1"/>
  <c r="FH9" i="1"/>
  <c r="DX9" i="1"/>
  <c r="FV9" i="1"/>
  <c r="AK10" i="1"/>
  <c r="EY10" i="1"/>
  <c r="BH10" i="1"/>
  <c r="BN10" i="1"/>
  <c r="FD11" i="1"/>
  <c r="DV11" i="1"/>
  <c r="DM10" i="1"/>
  <c r="DL10" i="1"/>
  <c r="EZ10" i="1"/>
  <c r="BI10" i="1"/>
  <c r="D11" i="1"/>
  <c r="EY11" i="1"/>
  <c r="DY11" i="1"/>
  <c r="BN11" i="1"/>
  <c r="FE11" i="1"/>
  <c r="CO11" i="1"/>
  <c r="FH11" i="1" s="1"/>
  <c r="BH11" i="1"/>
  <c r="G10" i="1"/>
  <c r="O10" i="1"/>
  <c r="CO10" i="1"/>
  <c r="FD10" i="1"/>
  <c r="DN10" i="1"/>
  <c r="AE11" i="1"/>
  <c r="O11" i="1" s="1"/>
  <c r="FX11" i="1"/>
  <c r="O8" i="1"/>
  <c r="DQ9" i="1"/>
  <c r="AG10" i="1"/>
  <c r="L10" i="1"/>
  <c r="BM10" i="1"/>
  <c r="DO10" i="1"/>
  <c r="EH10" i="1"/>
  <c r="EV10" i="1"/>
  <c r="C11" i="1"/>
  <c r="BG11" i="1"/>
  <c r="AW10" i="1"/>
  <c r="FN10" i="1" s="1"/>
  <c r="BO10" i="1"/>
  <c r="F11" i="1"/>
  <c r="N11" i="1"/>
  <c r="EG11" i="1"/>
  <c r="FF11" i="1"/>
  <c r="BI11" i="1"/>
  <c r="BO11" i="1"/>
  <c r="L11" i="1"/>
  <c r="E11" i="1"/>
  <c r="M11" i="1"/>
  <c r="GJ11" i="1"/>
  <c r="N10" i="1"/>
  <c r="DW11" i="1"/>
  <c r="BO8" i="1"/>
  <c r="DM8" i="1"/>
  <c r="AO10" i="1"/>
  <c r="FX10" i="1" s="1"/>
  <c r="C10" i="1"/>
  <c r="FF10" i="1"/>
  <c r="GH10" i="1"/>
  <c r="CG10" i="1"/>
  <c r="K11" i="1"/>
  <c r="CW11" i="1"/>
  <c r="EX11" i="1"/>
  <c r="Y11" i="1"/>
  <c r="FJ11" i="1"/>
  <c r="FT11" i="1"/>
  <c r="DX11" i="1"/>
  <c r="GF11" i="1"/>
  <c r="AW11" i="1"/>
  <c r="FY11" i="1" s="1"/>
  <c r="EM7" i="1" l="1"/>
  <c r="GI7" i="1"/>
  <c r="EM8" i="1"/>
  <c r="DT7" i="1"/>
  <c r="EL8" i="1"/>
  <c r="FW7" i="1"/>
  <c r="DQ7" i="1"/>
  <c r="EL7" i="1"/>
  <c r="Q7" i="1"/>
  <c r="DG7" i="1" s="1"/>
  <c r="FH7" i="1"/>
  <c r="EJ10" i="1"/>
  <c r="EL10" i="1"/>
  <c r="FX7" i="1"/>
  <c r="FN7" i="1"/>
  <c r="G11" i="1"/>
  <c r="GN10" i="1"/>
  <c r="GL9" i="1"/>
  <c r="DY10" i="1"/>
  <c r="EN8" i="1"/>
  <c r="DG9" i="1"/>
  <c r="DV10" i="1"/>
  <c r="GJ10" i="1"/>
  <c r="DX10" i="1"/>
  <c r="EA11" i="1"/>
  <c r="DT10" i="1"/>
  <c r="DS10" i="1"/>
  <c r="DR10" i="1"/>
  <c r="FW10" i="1"/>
  <c r="GI10" i="1"/>
  <c r="EZ11" i="1"/>
  <c r="FH10" i="1"/>
  <c r="EM11" i="1"/>
  <c r="Q10" i="1"/>
  <c r="DH10" i="1" s="1"/>
  <c r="EM10" i="1"/>
  <c r="DS8" i="1"/>
  <c r="FY7" i="1"/>
  <c r="ED7" i="1"/>
  <c r="GK7" i="1"/>
  <c r="EA7" i="1"/>
  <c r="I10" i="1"/>
  <c r="FB9" i="1"/>
  <c r="BQ9" i="1"/>
  <c r="EP9" i="1" s="1"/>
  <c r="BK9" i="1"/>
  <c r="GH11" i="1"/>
  <c r="DO11" i="1"/>
  <c r="FV11" i="1"/>
  <c r="DM11" i="1"/>
  <c r="DL11" i="1"/>
  <c r="FN11" i="1"/>
  <c r="BQ11" i="1"/>
  <c r="I7" i="1"/>
  <c r="DH7" i="1"/>
  <c r="EJ11" i="1"/>
  <c r="BK11" i="1"/>
  <c r="DQ10" i="1"/>
  <c r="M10" i="1"/>
  <c r="E10" i="1"/>
  <c r="BK8" i="1"/>
  <c r="FB8" i="1"/>
  <c r="BQ8" i="1"/>
  <c r="EB7" i="1"/>
  <c r="EV11" i="1"/>
  <c r="DW10" i="1"/>
  <c r="GK8" i="1"/>
  <c r="FY8" i="1"/>
  <c r="ED8" i="1"/>
  <c r="EA8" i="1"/>
  <c r="EN10" i="1"/>
  <c r="DN11" i="1"/>
  <c r="FW8" i="1"/>
  <c r="GN8" i="1"/>
  <c r="I8" i="1"/>
  <c r="GI8" i="1"/>
  <c r="Q8" i="1"/>
  <c r="DI8" i="1" s="1"/>
  <c r="DT8" i="1"/>
  <c r="DQ8" i="1"/>
  <c r="DH9" i="1"/>
  <c r="DJ9" i="1"/>
  <c r="DI7" i="1"/>
  <c r="EC7" i="1"/>
  <c r="GK11" i="1"/>
  <c r="EC11" i="1"/>
  <c r="ED11" i="1"/>
  <c r="EB11" i="1"/>
  <c r="BQ10" i="1"/>
  <c r="FB10" i="1"/>
  <c r="BK10" i="1"/>
  <c r="ED10" i="1"/>
  <c r="FY10" i="1"/>
  <c r="GK10" i="1"/>
  <c r="EC10" i="1"/>
  <c r="EB10" i="1"/>
  <c r="EA10" i="1"/>
  <c r="E7" i="1"/>
  <c r="M7" i="1"/>
  <c r="FZ7" i="1"/>
  <c r="GL7" i="1"/>
  <c r="EN11" i="1"/>
  <c r="AG11" i="1"/>
  <c r="I11" i="1" s="1"/>
  <c r="EL11" i="1"/>
  <c r="FB7" i="1"/>
  <c r="BK7" i="1"/>
  <c r="BQ7" i="1"/>
  <c r="EP7" i="1" s="1"/>
  <c r="EC8" i="1"/>
  <c r="FN8" i="1"/>
  <c r="DJ7" i="1" l="1"/>
  <c r="GL10" i="1"/>
  <c r="DG10" i="1"/>
  <c r="FZ10" i="1"/>
  <c r="DJ10" i="1"/>
  <c r="DT11" i="1"/>
  <c r="FB11" i="1"/>
  <c r="GI11" i="1"/>
  <c r="FW11" i="1"/>
  <c r="DQ11" i="1"/>
  <c r="DR11" i="1"/>
  <c r="EP10" i="1"/>
  <c r="EP8" i="1"/>
  <c r="Q11" i="1"/>
  <c r="DS11" i="1"/>
  <c r="GL8" i="1"/>
  <c r="DJ8" i="1"/>
  <c r="DG8" i="1"/>
  <c r="FZ8" i="1"/>
  <c r="DH8" i="1"/>
  <c r="DI10" i="1"/>
  <c r="DJ11" i="1" l="1"/>
  <c r="FZ11" i="1"/>
  <c r="DG11" i="1"/>
  <c r="DI11" i="1"/>
  <c r="GL11" i="1"/>
  <c r="DH11" i="1"/>
  <c r="EP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rtedder</author>
    <author>jharris</author>
    <author>suzannedouglas</author>
    <author>tc={17C2690F-007B-44FB-B62D-6058C4635046}</author>
  </authors>
  <commentList>
    <comment ref="AW7" authorId="0" shapeId="0" xr:uid="{3E764D85-D2A3-47F9-B2F4-EC5C0CA1F880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Includes: non-bank FI, L&amp;A to banks and other financial assets</t>
        </r>
      </text>
    </comment>
    <comment ref="CG7" authorId="0" shapeId="0" xr:uid="{12B1B050-B52A-462F-8B47-A8FFCC99422D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Assumes off BS personal ECL all relates to Cards</t>
        </r>
      </text>
    </comment>
    <comment ref="A8" authorId="0" shapeId="0" xr:uid="{D6B0CEDC-B2AB-44E4-8A4C-50B9E40E6859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Excludes £19m ECL related to other assets; although staging split of this is given on p238 (£2m S1, £17m S3); the staging split of £14m of this can not be identified on p235</t>
        </r>
      </text>
    </comment>
    <comment ref="K8" authorId="1" shapeId="0" xr:uid="{E256B079-8CAE-4D8A-9755-AF921F77D2A6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Agrees to total per pg 293</t>
        </r>
      </text>
    </comment>
    <comment ref="S8" authorId="1" shapeId="0" xr:uid="{E760C8DF-3693-473B-85F2-C84F768B3A6D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Pg. 292</t>
        </r>
      </text>
    </comment>
    <comment ref="AA8" authorId="1" shapeId="0" xr:uid="{F4074BE2-B4C2-45E0-B62C-0047C4494641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Per pg 292</t>
        </r>
      </text>
    </comment>
    <comment ref="AI8" authorId="1" shapeId="0" xr:uid="{6E10B267-B2D9-4EA6-8118-852DD43680AF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P.g 293</t>
        </r>
      </text>
    </comment>
    <comment ref="AQ8" authorId="1" shapeId="0" xr:uid="{9658E139-4F13-4766-83D4-1201B3997B94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Pg 145/293</t>
        </r>
      </text>
    </comment>
    <comment ref="AW8" authorId="0" shapeId="0" xr:uid="{88CBA032-14BD-4544-B7A6-C8906B885FEA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Includes Retail Other
</t>
        </r>
      </text>
    </comment>
    <comment ref="AY8" authorId="1" shapeId="0" xr:uid="{81FA968D-D2C7-4238-9333-346499C24B3C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Pg. 235</t>
        </r>
      </text>
    </comment>
    <comment ref="BE8" authorId="0" shapeId="0" xr:uid="{5EE7C69D-BD3F-4658-92E2-B3B491990E5B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Includes Retail Other
</t>
        </r>
      </text>
    </comment>
    <comment ref="CA8" authorId="0" shapeId="0" xr:uid="{26A4650A-82F5-4A5C-A9D2-3515499FA3D5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Excludes £201m RV provision weighted by Motor S1/S2 balance split</t>
        </r>
      </text>
    </comment>
    <comment ref="CB8" authorId="0" shapeId="0" xr:uid="{A6AB96B6-33F6-45EF-B438-F82AE6A8366C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Excludes £201m RV provision weighted by Motor S1/S2 balance split
Per pg 153</t>
        </r>
      </text>
    </comment>
    <comment ref="CI8" authorId="1" shapeId="0" xr:uid="{DC538EAF-AE01-46A5-AEE3-FAB921AD9A24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Pg 159</t>
        </r>
      </text>
    </comment>
    <comment ref="CW8" authorId="0" shapeId="0" xr:uid="{0DA80CF2-A638-41FA-9938-A3105F5D0511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Include Retail Other
</t>
        </r>
      </text>
    </comment>
    <comment ref="DE8" authorId="0" shapeId="0" xr:uid="{BEFDCA7B-69B7-4212-BEFA-D6BE5A4600C7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Include Retail Other
</t>
        </r>
      </text>
    </comment>
    <comment ref="FS8" authorId="0" shapeId="0" xr:uid="{F9C18C75-77C7-4D06-BDCE-499EA3BD62B0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includes Retail Other £54m</t>
        </r>
      </text>
    </comment>
    <comment ref="CD9" authorId="0" shapeId="0" xr:uid="{C24BFA36-FBAB-4657-9411-10CBD795716C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includes share of undrawn provision split between consumer and corporate in proportion to ECL</t>
        </r>
      </text>
    </comment>
    <comment ref="CL9" authorId="0" shapeId="0" xr:uid="{0869FB4D-3437-4FD2-805F-9CFFF8647B28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includes share of undrawn provision split between consumer and corporate in proportion to ECL</t>
        </r>
      </text>
    </comment>
    <comment ref="FQ9" authorId="0" shapeId="0" xr:uid="{D91FA461-AFDA-4BC5-8570-652FF1866BCC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Assumes all post write-off recoveries allocated to cards</t>
        </r>
      </text>
    </comment>
    <comment ref="A10" authorId="1" shapeId="0" xr:uid="{79EEDF35-80F7-454C-9B85-33C3786DF651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The NatWest Group retail bank is ring-fenced, and NatWest Markets operates as a 
non ring-fenced bank</t>
        </r>
      </text>
    </comment>
    <comment ref="AW10" authorId="0" shapeId="0" xr:uid="{B43ED4DD-A9CF-47C8-BD57-8FDE552B3D0F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Other = FI + soverign; p126 2018 ARA</t>
        </r>
      </text>
    </comment>
    <comment ref="BE10" authorId="0" shapeId="0" xr:uid="{6BD13104-439C-40B2-8EE6-7E57F0A50064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Other = FI + soverign; p126 2018 ARA</t>
        </r>
      </text>
    </comment>
    <comment ref="S11" authorId="2" shapeId="0" xr:uid="{1BAEE1C3-142E-4A5B-9558-D17609EB3272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Mortgages are included in Retail Banking.  Obtained a split of Retail Banking on PDF p. 74 of 1H20 report</t>
        </r>
      </text>
    </comment>
    <comment ref="AA11" authorId="2" shapeId="0" xr:uid="{31B3B7B8-9D7F-4DA6-892F-DCB2E8369D19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= Retail Banking (PDF p.55) + Private Banking (p.55) - Mortgages (from PFD p.76)</t>
        </r>
      </text>
    </comment>
    <comment ref="AC11" authorId="2" shapeId="0" xr:uid="{89470377-CF1D-4364-A780-B3495EFDA066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This is for total retail + private banking and includes mortgages. Mortgages stage 2 split not available</t>
        </r>
      </text>
    </comment>
    <comment ref="AQ11" authorId="2" shapeId="0" xr:uid="{F05F61E7-9921-4421-8D44-722EB1165117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L&amp;A to (PDF p.55)
1) Banks;
2) Corp/Instit Banking
3) Central &amp; Other</t>
        </r>
      </text>
    </comment>
    <comment ref="AY11" authorId="2" shapeId="0" xr:uid="{FBE98263-BDA3-428E-874E-CF9D769106F1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Other assets @ amortised cost, per PDF page 52:
1) Debt securities @ AC
2) Accrued Inc @ AC</t>
        </r>
      </text>
    </comment>
    <comment ref="AZ11" authorId="3" shapeId="0" xr:uid="{17C2690F-007B-44FB-B62D-6058C463504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Calculation mistake?</t>
      </text>
    </comment>
    <comment ref="BS11" authorId="2" shapeId="0" xr:uid="{4DFD76F1-4042-4DE6-9CEF-3A1DF1692B1D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Mortgages are included in Retail Banking.  Obtained a split of Retail Banking on p. 76 of 1H20 report</t>
        </r>
      </text>
    </comment>
    <comment ref="CA11" authorId="2" shapeId="0" xr:uid="{DE21ABDA-5C9A-4448-AA60-4FFFFCA601A3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= Retail Banking (p.55) + Private Banking (p.55) - Mortgages (from p.76)</t>
        </r>
      </text>
    </comment>
    <comment ref="CC11" authorId="2" shapeId="0" xr:uid="{7E1DE25A-6499-4149-B086-37C479505440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This is for total retail + private banking and includes mortgages. Mortgages stage 2 split not available</t>
        </r>
      </text>
    </comment>
    <comment ref="CQ11" authorId="2" shapeId="0" xr:uid="{65B5066A-FEB6-4FB1-87D1-5669ECE5AF75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L&amp;A to (PDF p.55)
1) Banks;
2) Corp/Instit Banking
3) Central &amp; Other
4) Undrawn Commitments
5) Fin Guarantees</t>
        </r>
      </text>
    </comment>
    <comment ref="CY11" authorId="2" shapeId="0" xr:uid="{3F2F4158-0DE3-4425-8529-04EC30AF1263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Other assets @ amortised cost, per PDF page 52:
1) Debt securities @ AC
2) Accrued Inc @ AC</t>
        </r>
      </text>
    </comment>
    <comment ref="FP11" authorId="2" shapeId="0" xr:uid="{83519461-9D38-4885-A0FC-F75B082BC69B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Included in Comsumer (Retail Banking)</t>
        </r>
      </text>
    </comment>
    <comment ref="GB11" authorId="2" shapeId="0" xr:uid="{EC93B60F-11A5-4B57-A548-8117F4ABC263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Included in Comsumer (Retail Banking)</t>
        </r>
      </text>
    </comment>
  </commentList>
</comments>
</file>

<file path=xl/sharedStrings.xml><?xml version="1.0" encoding="utf-8"?>
<sst xmlns="http://schemas.openxmlformats.org/spreadsheetml/2006/main" count="480" uniqueCount="237">
  <si>
    <t>Firm</t>
  </si>
  <si>
    <t>Assets @ Gross Amortised Cost (£bn)</t>
  </si>
  <si>
    <t>Staging balances (%)</t>
  </si>
  <si>
    <t>Stage 2 Analysis</t>
  </si>
  <si>
    <t>Coverage (%)</t>
  </si>
  <si>
    <t>Loss rates</t>
  </si>
  <si>
    <t>Total Assets</t>
  </si>
  <si>
    <t>Loans and Advances</t>
  </si>
  <si>
    <t>Mortgages</t>
  </si>
  <si>
    <t>Consumer Lending (including Auto Finance)</t>
  </si>
  <si>
    <t>Corporate &amp; Commercial</t>
  </si>
  <si>
    <t>Other Loans &amp; Advances</t>
  </si>
  <si>
    <t>Other Assets</t>
  </si>
  <si>
    <t>Total</t>
  </si>
  <si>
    <t>Total Loans &amp; Advances</t>
  </si>
  <si>
    <t>% of S2 30+</t>
  </si>
  <si>
    <t>P&amp;L Charge (£m)</t>
  </si>
  <si>
    <t>AQR (% L&amp;A)</t>
  </si>
  <si>
    <t>Gross Write-offs (£m)</t>
  </si>
  <si>
    <t>Write-off rate (%)</t>
  </si>
  <si>
    <t>S1</t>
  </si>
  <si>
    <t>S2</t>
  </si>
  <si>
    <t>S2 UTD</t>
  </si>
  <si>
    <t>S230+</t>
  </si>
  <si>
    <t>S3</t>
  </si>
  <si>
    <t>POCI</t>
  </si>
  <si>
    <t>Mtgs</t>
  </si>
  <si>
    <t>Cons</t>
  </si>
  <si>
    <t>Comm</t>
  </si>
  <si>
    <t>Other L&amp;A</t>
  </si>
  <si>
    <t>Total L&amp;A</t>
  </si>
  <si>
    <t>Other</t>
  </si>
  <si>
    <t>HSBC (USD)</t>
  </si>
  <si>
    <t>N/A</t>
  </si>
  <si>
    <t>Lloyds - statutory</t>
  </si>
  <si>
    <t>Barclays Group</t>
  </si>
  <si>
    <t>NatWest Group</t>
  </si>
  <si>
    <t>Standard Chatered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</si>
  <si>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</si>
  <si>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</si>
  <si>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</si>
  <si>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</si>
  <si>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</si>
  <si>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</si>
  <si>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</si>
  <si>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</si>
  <si>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</si>
  <si>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</si>
  <si>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</si>
  <si>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</si>
  <si>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</si>
  <si>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</si>
  <si>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</si>
  <si>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</si>
  <si>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</si>
  <si>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</si>
  <si>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</si>
  <si>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</si>
  <si>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</si>
  <si>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</si>
  <si>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</si>
  <si>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</si>
  <si>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</si>
  <si>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</si>
  <si>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</si>
  <si>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</si>
  <si>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</si>
  <si>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</si>
  <si>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</si>
  <si>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</si>
  <si>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</si>
  <si>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</si>
  <si>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</si>
  <si>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</si>
  <si>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</si>
  <si>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</si>
  <si>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</si>
  <si>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</si>
  <si>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</si>
  <si>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</si>
  <si>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</si>
  <si>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</si>
  <si>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</si>
  <si>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</si>
  <si>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</si>
  <si>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</si>
  <si>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</si>
  <si>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</si>
  <si>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</si>
  <si>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</si>
  <si>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</si>
  <si>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</si>
  <si>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</si>
  <si>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</si>
  <si>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</si>
  <si>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</si>
  <si>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</si>
  <si>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</si>
  <si>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</si>
  <si>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</si>
  <si>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</si>
  <si>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</si>
  <si>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</si>
  <si>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</si>
  <si>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</si>
  <si>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</si>
  <si>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</si>
  <si>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</si>
  <si>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</si>
  <si>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</si>
  <si>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</si>
  <si>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</si>
  <si>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</si>
  <si>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</si>
  <si>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</si>
  <si>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</si>
  <si>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</si>
  <si>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</si>
  <si>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</si>
  <si>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</si>
  <si>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</si>
  <si>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</si>
  <si>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</si>
  <si>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</si>
  <si>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</si>
  <si>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</si>
  <si>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</si>
  <si>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</si>
  <si>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</si>
  <si>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</si>
  <si>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</si>
  <si>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</si>
  <si>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</si>
  <si>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</si>
  <si>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</si>
  <si>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</si>
  <si>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</si>
  <si>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</si>
  <si>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</si>
  <si>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</si>
  <si>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</si>
  <si>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</si>
  <si>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</si>
  <si>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</si>
  <si>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</si>
  <si>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</si>
  <si>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</si>
  <si>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</si>
  <si>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</si>
  <si>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</si>
  <si>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</si>
  <si>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</si>
  <si>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</si>
  <si>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</si>
  <si>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</si>
  <si>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</si>
  <si>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</si>
  <si>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</si>
  <si>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</si>
  <si>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</si>
  <si>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</si>
  <si>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</si>
  <si>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</si>
  <si>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</si>
  <si>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</si>
  <si>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</si>
  <si>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</si>
  <si>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</si>
  <si>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</si>
  <si>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</si>
  <si>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</si>
  <si>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</si>
  <si>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</si>
  <si>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</si>
  <si>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</si>
  <si>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</si>
  <si>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</si>
  <si>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</si>
  <si>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</si>
  <si>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</si>
  <si>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</si>
  <si>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</si>
  <si>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</si>
  <si>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</si>
  <si>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</si>
  <si>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</si>
  <si>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</si>
  <si>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</si>
  <si>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</si>
  <si>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</si>
  <si>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</si>
  <si>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</si>
  <si>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</si>
  <si>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</si>
  <si>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</si>
  <si>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</si>
  <si>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</si>
  <si>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</si>
  <si>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</si>
  <si>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</si>
  <si>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</si>
  <si>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</si>
  <si>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</si>
  <si>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</si>
  <si>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</si>
  <si>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</si>
  <si>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</si>
  <si>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</si>
  <si>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</si>
  <si>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</si>
  <si>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</si>
  <si>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</si>
  <si>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</si>
  <si>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</si>
  <si>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</si>
  <si>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</si>
  <si>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</si>
  <si>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</si>
  <si>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</si>
  <si>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</si>
  <si>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</si>
  <si>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</si>
  <si>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</si>
  <si>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</si>
  <si>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</si>
  <si>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</si>
  <si>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</si>
  <si>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</si>
  <si>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</si>
  <si>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</si>
  <si>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</si>
  <si>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</si>
  <si>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Loans and Advances to Customers @ Gross Amortised Cost (£bn)</t>
  </si>
  <si>
    <t>ECL (£m)</t>
  </si>
  <si>
    <t>S1 &amp; S2 
Impairment (£ mn)</t>
  </si>
  <si>
    <t>S1 &amp; S2 
Exposure (£ mn)</t>
  </si>
  <si>
    <t>Financials and coverage 4Q19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</si>
</sst>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14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3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centerContinuous"/>
    </xf>
    <xf numFmtId="0" fontId="0" fillId="0" borderId="0" xfId="0" applyAlignment="1">
      <alignment horizontal="left"/>
    </xf>
    <xf numFmtId="165" fontId="2" fillId="2" borderId="1" xfId="0" applyNumberFormat="1" applyFont="1" applyFill="1" applyBorder="1" applyAlignment="1">
      <alignment horizontal="centerContinuous"/>
    </xf>
    <xf numFmtId="3" fontId="2" fillId="2" borderId="1" xfId="0" applyNumberFormat="1" applyFont="1" applyFill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0" xfId="0" applyAlignment="1">
      <alignment horizontal="right"/>
    </xf>
    <xf numFmtId="3" fontId="0" fillId="0" borderId="2" xfId="0" applyNumberFormat="1" applyBorder="1" applyAlignment="1">
      <alignment horizontal="centerContinuous" vertical="center"/>
    </xf>
    <xf numFmtId="165" fontId="0" fillId="0" borderId="2" xfId="0" applyNumberFormat="1" applyBorder="1" applyAlignment="1">
      <alignment horizontal="centerContinuous"/>
    </xf>
    <xf numFmtId="3" fontId="0" fillId="0" borderId="2" xfId="0" applyNumberFormat="1" applyBorder="1" applyAlignment="1">
      <alignment horizontal="centerContinuous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3" borderId="0" xfId="0" applyFill="1" applyAlignment="1">
      <alignment vertical="center"/>
    </xf>
    <xf numFmtId="3" fontId="0" fillId="3" borderId="0" xfId="0" applyNumberFormat="1" applyFill="1" applyAlignment="1">
      <alignment horizontal="right" vertical="center"/>
    </xf>
    <xf numFmtId="3" fontId="5" fillId="4" borderId="0" xfId="0" applyNumberFormat="1" applyFont="1" applyFill="1" applyAlignment="1">
      <alignment vertical="center" wrapText="1"/>
    </xf>
    <xf numFmtId="3" fontId="5" fillId="4" borderId="0" xfId="0" applyNumberFormat="1" applyFont="1" applyFill="1" applyAlignment="1">
      <alignment horizontal="right" vertical="center" wrapText="1"/>
    </xf>
    <xf numFmtId="3" fontId="0" fillId="4" borderId="0" xfId="0" applyNumberFormat="1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3" fontId="5" fillId="5" borderId="0" xfId="0" applyNumberFormat="1" applyFont="1" applyFill="1" applyAlignment="1">
      <alignment vertical="center" wrapText="1"/>
    </xf>
    <xf numFmtId="3" fontId="5" fillId="5" borderId="0" xfId="0" applyNumberFormat="1" applyFont="1" applyFill="1" applyAlignment="1">
      <alignment horizontal="right" vertical="center" wrapText="1"/>
    </xf>
    <xf numFmtId="3" fontId="0" fillId="5" borderId="0" xfId="0" applyNumberFormat="1" applyFill="1" applyAlignment="1">
      <alignment vertical="center" wrapText="1"/>
    </xf>
    <xf numFmtId="4" fontId="5" fillId="5" borderId="0" xfId="0" applyNumberFormat="1" applyFont="1" applyFill="1" applyAlignment="1">
      <alignment vertical="center" wrapText="1"/>
    </xf>
    <xf numFmtId="4" fontId="0" fillId="5" borderId="0" xfId="0" applyNumberFormat="1" applyFill="1" applyAlignment="1">
      <alignment vertical="center" wrapText="1"/>
    </xf>
    <xf numFmtId="3" fontId="5" fillId="3" borderId="0" xfId="0" applyNumberFormat="1" applyFont="1" applyFill="1" applyAlignment="1">
      <alignment vertical="center" wrapText="1"/>
    </xf>
    <xf numFmtId="3" fontId="5" fillId="3" borderId="0" xfId="0" applyNumberFormat="1" applyFont="1" applyFill="1" applyAlignment="1">
      <alignment horizontal="right" vertical="center" wrapText="1"/>
    </xf>
    <xf numFmtId="3" fontId="5" fillId="6" borderId="0" xfId="0" applyNumberFormat="1" applyFont="1" applyFill="1" applyAlignment="1">
      <alignment vertical="center" wrapText="1"/>
    </xf>
    <xf numFmtId="3" fontId="5" fillId="6" borderId="0" xfId="0" applyNumberFormat="1" applyFont="1" applyFill="1" applyAlignment="1">
      <alignment horizontal="right" vertical="center" wrapText="1"/>
    </xf>
    <xf numFmtId="3" fontId="0" fillId="6" borderId="0" xfId="0" applyNumberFormat="1" applyFill="1" applyAlignment="1">
      <alignment vertical="center" wrapText="1"/>
    </xf>
    <xf numFmtId="3" fontId="5" fillId="7" borderId="0" xfId="0" applyNumberFormat="1" applyFont="1" applyFill="1" applyAlignment="1">
      <alignment vertical="center" wrapText="1"/>
    </xf>
    <xf numFmtId="3" fontId="0" fillId="6" borderId="0" xfId="0" applyNumberFormat="1" applyFill="1" applyAlignment="1">
      <alignment horizontal="right" vertical="center" wrapText="1"/>
    </xf>
    <xf numFmtId="3" fontId="0" fillId="3" borderId="0" xfId="0" applyNumberFormat="1" applyFill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9" fontId="6" fillId="3" borderId="0" xfId="0" applyNumberFormat="1" applyFont="1" applyFill="1" applyAlignment="1">
      <alignment horizontal="right" vertical="center" wrapText="1"/>
    </xf>
    <xf numFmtId="165" fontId="0" fillId="3" borderId="0" xfId="0" applyNumberFormat="1" applyFill="1" applyAlignment="1">
      <alignment horizontal="right" vertical="center" wrapText="1"/>
    </xf>
    <xf numFmtId="10" fontId="0" fillId="3" borderId="0" xfId="0" applyNumberFormat="1" applyFill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0" fontId="0" fillId="3" borderId="0" xfId="0" applyFill="1"/>
    <xf numFmtId="3" fontId="7" fillId="3" borderId="0" xfId="0" applyNumberFormat="1" applyFont="1" applyFill="1"/>
    <xf numFmtId="10" fontId="0" fillId="3" borderId="0" xfId="0" applyNumberForma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9" fontId="0" fillId="3" borderId="0" xfId="0" applyNumberFormat="1" applyFill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9" fontId="6" fillId="0" borderId="0" xfId="0" applyNumberFormat="1" applyFon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/>
    </xf>
    <xf numFmtId="9" fontId="0" fillId="0" borderId="0" xfId="0" applyNumberFormat="1"/>
    <xf numFmtId="3" fontId="2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vertical="center" wrapText="1"/>
    </xf>
    <xf numFmtId="4" fontId="5" fillId="0" borderId="0" xfId="0" applyNumberFormat="1" applyFont="1" applyAlignment="1">
      <alignment vertical="center" wrapText="1"/>
    </xf>
    <xf numFmtId="3" fontId="6" fillId="0" borderId="0" xfId="0" applyNumberFormat="1" applyFont="1" applyAlignment="1">
      <alignment horizontal="right" vertical="center" wrapText="1"/>
    </xf>
    <xf numFmtId="3" fontId="8" fillId="0" borderId="0" xfId="0" applyNumberFormat="1" applyFont="1"/>
    <xf numFmtId="0" fontId="8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0" fillId="8" borderId="0" xfId="0" applyFill="1" applyAlignment="1">
      <alignment vertical="center"/>
    </xf>
    <xf numFmtId="3" fontId="0" fillId="8" borderId="0" xfId="0" applyNumberFormat="1" applyFill="1" applyAlignment="1">
      <alignment horizontal="right" vertical="center"/>
    </xf>
    <xf numFmtId="164" fontId="5" fillId="8" borderId="0" xfId="0" applyNumberFormat="1" applyFont="1" applyFill="1" applyAlignment="1">
      <alignment vertical="center" wrapText="1"/>
    </xf>
    <xf numFmtId="164" fontId="0" fillId="8" borderId="0" xfId="0" applyNumberFormat="1" applyFill="1" applyAlignment="1">
      <alignment horizontal="right" vertical="center" wrapText="1"/>
    </xf>
    <xf numFmtId="164" fontId="5" fillId="8" borderId="0" xfId="0" applyNumberFormat="1" applyFont="1" applyFill="1" applyAlignment="1">
      <alignment horizontal="right" vertical="center" wrapText="1"/>
    </xf>
    <xf numFmtId="3" fontId="0" fillId="8" borderId="0" xfId="0" applyNumberFormat="1" applyFill="1" applyAlignment="1">
      <alignment vertical="center" wrapText="1"/>
    </xf>
    <xf numFmtId="3" fontId="5" fillId="8" borderId="0" xfId="0" applyNumberFormat="1" applyFont="1" applyFill="1" applyAlignment="1">
      <alignment vertical="center" wrapText="1"/>
    </xf>
    <xf numFmtId="3" fontId="0" fillId="8" borderId="0" xfId="0" applyNumberFormat="1" applyFill="1" applyAlignment="1">
      <alignment horizontal="right" vertical="center" wrapText="1"/>
    </xf>
    <xf numFmtId="3" fontId="5" fillId="8" borderId="0" xfId="0" applyNumberFormat="1" applyFont="1" applyFill="1" applyAlignment="1">
      <alignment horizontal="right" vertical="center" wrapText="1"/>
    </xf>
    <xf numFmtId="4" fontId="5" fillId="8" borderId="0" xfId="0" applyNumberFormat="1" applyFont="1" applyFill="1" applyAlignment="1">
      <alignment vertical="center" wrapText="1"/>
    </xf>
    <xf numFmtId="4" fontId="0" fillId="8" borderId="0" xfId="0" applyNumberFormat="1" applyFill="1" applyAlignment="1">
      <alignment horizontal="right" vertical="center" wrapText="1"/>
    </xf>
    <xf numFmtId="4" fontId="5" fillId="8" borderId="0" xfId="0" applyNumberFormat="1" applyFont="1" applyFill="1" applyAlignment="1">
      <alignment horizontal="right" vertical="center" wrapText="1"/>
    </xf>
    <xf numFmtId="9" fontId="6" fillId="8" borderId="0" xfId="0" applyNumberFormat="1" applyFont="1" applyFill="1" applyAlignment="1">
      <alignment horizontal="right" vertical="center" wrapText="1"/>
    </xf>
    <xf numFmtId="165" fontId="0" fillId="8" borderId="0" xfId="0" applyNumberFormat="1" applyFill="1" applyAlignment="1">
      <alignment horizontal="right" vertical="center" wrapText="1"/>
    </xf>
    <xf numFmtId="10" fontId="0" fillId="8" borderId="0" xfId="0" applyNumberFormat="1" applyFill="1" applyAlignment="1">
      <alignment horizontal="right" vertical="center"/>
    </xf>
    <xf numFmtId="165" fontId="0" fillId="8" borderId="0" xfId="0" applyNumberFormat="1" applyFill="1" applyAlignment="1">
      <alignment horizontal="right" vertical="center"/>
    </xf>
    <xf numFmtId="0" fontId="0" fillId="8" borderId="0" xfId="0" applyFill="1"/>
    <xf numFmtId="3" fontId="8" fillId="8" borderId="0" xfId="0" applyNumberFormat="1" applyFont="1" applyFill="1"/>
    <xf numFmtId="3" fontId="0" fillId="8" borderId="0" xfId="0" applyNumberFormat="1" applyFill="1"/>
    <xf numFmtId="10" fontId="0" fillId="8" borderId="0" xfId="0" applyNumberFormat="1" applyFill="1" applyAlignment="1">
      <alignment horizontal="right"/>
    </xf>
    <xf numFmtId="3" fontId="6" fillId="8" borderId="0" xfId="0" applyNumberFormat="1" applyFont="1" applyFill="1" applyAlignment="1">
      <alignment horizontal="right"/>
    </xf>
    <xf numFmtId="9" fontId="0" fillId="8" borderId="0" xfId="0" applyNumberFormat="1" applyFill="1"/>
    <xf numFmtId="0" fontId="6" fillId="9" borderId="0" xfId="0" applyFont="1" applyFill="1" applyAlignment="1">
      <alignment vertical="center"/>
    </xf>
    <xf numFmtId="3" fontId="6" fillId="9" borderId="0" xfId="0" applyNumberFormat="1" applyFont="1" applyFill="1" applyAlignment="1">
      <alignment horizontal="right" vertical="center"/>
    </xf>
    <xf numFmtId="3" fontId="6" fillId="9" borderId="0" xfId="0" applyNumberFormat="1" applyFont="1" applyFill="1" applyAlignment="1">
      <alignment horizontal="right" vertical="center" wrapText="1"/>
    </xf>
    <xf numFmtId="3" fontId="6" fillId="9" borderId="0" xfId="0" applyNumberFormat="1" applyFont="1" applyFill="1" applyAlignment="1">
      <alignment vertical="center" wrapText="1"/>
    </xf>
    <xf numFmtId="3" fontId="8" fillId="9" borderId="0" xfId="0" applyNumberFormat="1" applyFont="1" applyFill="1" applyAlignment="1">
      <alignment horizontal="right" vertical="center" wrapText="1"/>
    </xf>
    <xf numFmtId="3" fontId="0" fillId="9" borderId="0" xfId="0" applyNumberFormat="1" applyFill="1" applyAlignment="1">
      <alignment vertical="center" wrapText="1"/>
    </xf>
    <xf numFmtId="9" fontId="6" fillId="9" borderId="0" xfId="0" applyNumberFormat="1" applyFont="1" applyFill="1" applyAlignment="1">
      <alignment horizontal="right" vertical="center" wrapText="1"/>
    </xf>
    <xf numFmtId="165" fontId="6" fillId="9" borderId="0" xfId="0" applyNumberFormat="1" applyFont="1" applyFill="1" applyAlignment="1">
      <alignment horizontal="right" vertical="center" wrapText="1"/>
    </xf>
    <xf numFmtId="10" fontId="6" fillId="9" borderId="0" xfId="0" applyNumberFormat="1" applyFont="1" applyFill="1" applyAlignment="1">
      <alignment horizontal="right" vertical="center"/>
    </xf>
    <xf numFmtId="165" fontId="6" fillId="9" borderId="0" xfId="0" applyNumberFormat="1" applyFont="1" applyFill="1" applyAlignment="1">
      <alignment horizontal="right" vertical="center"/>
    </xf>
    <xf numFmtId="0" fontId="6" fillId="9" borderId="0" xfId="0" applyFont="1" applyFill="1"/>
    <xf numFmtId="3" fontId="6" fillId="9" borderId="0" xfId="0" applyNumberFormat="1" applyFont="1" applyFill="1"/>
    <xf numFmtId="10" fontId="6" fillId="9" borderId="0" xfId="0" applyNumberFormat="1" applyFont="1" applyFill="1" applyAlignment="1">
      <alignment horizontal="right"/>
    </xf>
    <xf numFmtId="3" fontId="6" fillId="9" borderId="0" xfId="0" applyNumberFormat="1" applyFont="1" applyFill="1" applyAlignment="1">
      <alignment horizontal="right"/>
    </xf>
    <xf numFmtId="0" fontId="6" fillId="0" borderId="0" xfId="0" applyFont="1" applyAlignment="1">
      <alignment vertical="center"/>
    </xf>
    <xf numFmtId="0" fontId="3" fillId="0" borderId="0" xfId="0" applyFont="1"/>
    <xf numFmtId="3" fontId="12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9" fontId="0" fillId="0" borderId="0" xfId="1" applyFont="1" applyBorder="1" applyAlignment="1">
      <alignment horizontal="right" vertical="center"/>
    </xf>
    <xf numFmtId="0" fontId="2" fillId="0" borderId="1" xfId="0" applyFont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10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Continuous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10" borderId="6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g, Joon" id="{B51143F7-36DD-4261-A1E3-791731FE319B}" userId="S::jhkang@deloitte.co.uk::6c624cf6-afcd-46a3-9af6-f55db3455c14" providerId="AD"/>
</personList>
</file>

<file path=xl/theme/theme1.xml><?xml version="1.0" encoding="utf-8"?>
<a:theme xmlns:a="http://schemas.openxmlformats.org/drawingml/2006/main" name="DeloitteColors">
  <a:themeElements>
    <a:clrScheme name="Deloitt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11" dT="2021-02-26T15:56:51.82" personId="{B51143F7-36DD-4261-A1E3-791731FE319B}" id="{17C2690F-007B-44FB-B62D-6058C4635046}">
    <text>Calculation mistake?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8499-C8DD-4F71-88B4-6DC593A6CB33}">
  <dimension ref="A1:GO11"/>
  <sheetViews>
    <sheetView tabSelected="1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I33" sqref="I33"/>
    </sheetView>
  </sheetViews>
  <sheetFormatPr defaultColWidth="8.7109375" defaultRowHeight="15" x14ac:dyDescent="0.25"/>
  <cols>
    <col min="1" max="1" width="34.7109375" bestFit="1" customWidth="1"/>
    <col min="2" max="2" width="1.5703125" customWidth="1"/>
    <col min="3" max="9" width="8.5703125" style="10" customWidth="1"/>
    <col min="10" max="10" width="1.5703125" style="10" customWidth="1"/>
    <col min="11" max="11" width="10.7109375" style="10" customWidth="1"/>
    <col min="12" max="17" width="8.5703125" style="10" customWidth="1"/>
    <col min="18" max="18" width="1.5703125" style="10" customWidth="1"/>
    <col min="19" max="25" width="8.5703125" style="11" customWidth="1"/>
    <col min="26" max="26" width="1.5703125" style="11" customWidth="1"/>
    <col min="27" max="33" width="8.5703125" style="11" customWidth="1"/>
    <col min="34" max="34" width="1.5703125" style="11" customWidth="1"/>
    <col min="35" max="41" width="8.5703125" style="11" customWidth="1"/>
    <col min="42" max="42" width="1.5703125" style="11" customWidth="1"/>
    <col min="43" max="49" width="8.5703125" style="11" customWidth="1"/>
    <col min="50" max="50" width="1.5703125" style="11" customWidth="1"/>
    <col min="51" max="57" width="8.5703125" style="11" customWidth="1"/>
    <col min="58" max="58" width="1.5703125" style="11" customWidth="1"/>
    <col min="59" max="62" width="8.5703125" style="11" customWidth="1"/>
    <col min="63" max="63" width="8.5703125" style="10" customWidth="1"/>
    <col min="64" max="64" width="1.5703125" style="10" customWidth="1"/>
    <col min="65" max="68" width="8.5703125" style="11" customWidth="1"/>
    <col min="69" max="69" width="8.5703125" style="10" customWidth="1"/>
    <col min="70" max="70" width="1.5703125" style="10" customWidth="1"/>
    <col min="71" max="72" width="8.5703125" style="11" customWidth="1"/>
    <col min="73" max="74" width="8.5703125" style="10" customWidth="1"/>
    <col min="75" max="77" width="8.5703125" style="11" customWidth="1"/>
    <col min="78" max="78" width="1.5703125" style="11" customWidth="1"/>
    <col min="79" max="85" width="8.5703125" style="11" customWidth="1"/>
    <col min="86" max="86" width="1.5703125" style="11" customWidth="1"/>
    <col min="87" max="93" width="8.5703125" style="11" customWidth="1"/>
    <col min="94" max="94" width="1.5703125" style="11" customWidth="1"/>
    <col min="95" max="101" width="8.5703125" style="11" customWidth="1"/>
    <col min="102" max="102" width="1.5703125" style="11" customWidth="1"/>
    <col min="103" max="109" width="8.5703125" style="11" customWidth="1"/>
    <col min="110" max="110" width="1.5703125" style="11" customWidth="1"/>
    <col min="111" max="114" width="8.5703125" style="11" customWidth="1"/>
    <col min="115" max="115" width="1.5703125" style="11" customWidth="1"/>
    <col min="116" max="119" width="8.5703125" style="11" customWidth="1"/>
    <col min="120" max="120" width="1.5703125" style="11" customWidth="1"/>
    <col min="121" max="124" width="8.5703125" style="11" customWidth="1"/>
    <col min="125" max="125" width="1.5703125" style="11" customWidth="1"/>
    <col min="126" max="129" width="8.5703125" style="11" customWidth="1"/>
    <col min="130" max="130" width="1.5703125" style="11" customWidth="1"/>
    <col min="131" max="134" width="8.5703125" style="11" customWidth="1"/>
    <col min="135" max="135" width="1.5703125" style="11" customWidth="1"/>
    <col min="136" max="140" width="8.5703125" style="11" customWidth="1"/>
    <col min="141" max="141" width="1.5703125" style="11" customWidth="1"/>
    <col min="142" max="146" width="8.5703125" style="10" customWidth="1"/>
    <col min="147" max="147" width="1.5703125" style="10" customWidth="1"/>
    <col min="148" max="152" width="8.5703125" style="11" customWidth="1"/>
    <col min="153" max="153" width="1.5703125" style="11" customWidth="1"/>
    <col min="154" max="154" width="8.5703125" style="11" customWidth="1"/>
    <col min="155" max="158" width="8.5703125" style="12" customWidth="1"/>
    <col min="159" max="159" width="1.5703125" style="11" customWidth="1"/>
    <col min="160" max="160" width="8.5703125" style="11" customWidth="1"/>
    <col min="161" max="164" width="8.5703125" style="12" customWidth="1"/>
    <col min="165" max="165" width="1.5703125" style="11" customWidth="1"/>
    <col min="166" max="166" width="8.5703125" style="11" customWidth="1"/>
    <col min="167" max="170" width="8.5703125" style="12" customWidth="1"/>
    <col min="171" max="171" width="1.5703125" customWidth="1"/>
    <col min="176" max="176" width="8.7109375" style="13"/>
    <col min="177" max="177" width="1.5703125" customWidth="1"/>
    <col min="181" max="181" width="8.5703125" customWidth="1"/>
    <col min="183" max="183" width="1.5703125" customWidth="1"/>
    <col min="189" max="189" width="1.5703125" customWidth="1"/>
  </cols>
  <sheetData>
    <row r="1" spans="1:197" ht="18.75" x14ac:dyDescent="0.3">
      <c r="A1" s="1" t="s">
        <v>236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4"/>
      <c r="T1" s="4"/>
      <c r="U1" s="4"/>
      <c r="V1" s="4"/>
      <c r="W1" s="4"/>
      <c r="X1" s="4"/>
      <c r="Y1" s="4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6"/>
      <c r="BM1" s="5"/>
      <c r="BN1" s="5"/>
      <c r="BO1" s="5"/>
      <c r="BP1" s="5"/>
      <c r="BQ1" s="6"/>
      <c r="BR1" s="6"/>
      <c r="BS1" s="5"/>
      <c r="BT1" s="5"/>
      <c r="BU1" s="6"/>
      <c r="BV1" s="6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6"/>
      <c r="EM1" s="6"/>
      <c r="EN1" s="6"/>
      <c r="EO1" s="6"/>
      <c r="EP1" s="6"/>
      <c r="EQ1" s="6"/>
      <c r="ER1" s="5"/>
      <c r="ES1" s="5"/>
      <c r="ET1" s="5"/>
      <c r="EU1" s="5"/>
      <c r="EV1" s="5"/>
      <c r="EW1" s="5"/>
      <c r="EX1" s="5"/>
      <c r="EY1" s="7"/>
      <c r="EZ1" s="7"/>
      <c r="FA1" s="7"/>
      <c r="FB1" s="7"/>
      <c r="FC1" s="5"/>
      <c r="FD1" s="5"/>
      <c r="FE1" s="7"/>
      <c r="FF1" s="7"/>
      <c r="FG1" s="7"/>
      <c r="FH1" s="7"/>
      <c r="FI1" s="5"/>
      <c r="FJ1" s="5"/>
      <c r="FK1" s="7"/>
      <c r="FL1" s="7"/>
      <c r="FM1" s="7"/>
      <c r="FN1" s="7"/>
      <c r="FO1" s="8"/>
      <c r="FP1" s="8"/>
      <c r="FQ1" s="8"/>
      <c r="FR1" s="8"/>
      <c r="FS1" s="8"/>
      <c r="FT1" s="9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</row>
    <row r="2" spans="1:197" ht="18.75" x14ac:dyDescent="0.3">
      <c r="A2" s="110"/>
      <c r="B2" s="110"/>
      <c r="C2" s="111"/>
      <c r="D2" s="112"/>
      <c r="E2" s="111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  <c r="T2" s="113"/>
      <c r="U2" s="113"/>
      <c r="V2" s="113"/>
      <c r="W2" s="113"/>
      <c r="X2" s="113"/>
      <c r="Y2" s="113"/>
      <c r="BK2" s="114"/>
    </row>
    <row r="3" spans="1:197" x14ac:dyDescent="0.25">
      <c r="A3" t="s">
        <v>38</v>
      </c>
      <c r="B3" t="s">
        <v>39</v>
      </c>
      <c r="C3" s="115" t="s">
        <v>40</v>
      </c>
      <c r="D3" s="115" t="s">
        <v>41</v>
      </c>
      <c r="E3" s="115" t="s">
        <v>42</v>
      </c>
      <c r="F3" s="115" t="s">
        <v>43</v>
      </c>
      <c r="G3" s="115" t="s">
        <v>44</v>
      </c>
      <c r="H3" s="115" t="s">
        <v>45</v>
      </c>
      <c r="I3" s="115" t="s">
        <v>46</v>
      </c>
      <c r="J3" s="115" t="s">
        <v>47</v>
      </c>
      <c r="K3" s="115" t="s">
        <v>48</v>
      </c>
      <c r="L3" s="115" t="s">
        <v>49</v>
      </c>
      <c r="M3" s="115" t="s">
        <v>50</v>
      </c>
      <c r="N3" s="115" t="s">
        <v>51</v>
      </c>
      <c r="O3" s="115" t="s">
        <v>52</v>
      </c>
      <c r="P3" s="115" t="s">
        <v>53</v>
      </c>
      <c r="Q3" s="115" t="s">
        <v>54</v>
      </c>
      <c r="R3" s="115" t="s">
        <v>55</v>
      </c>
      <c r="S3" s="115" t="s">
        <v>56</v>
      </c>
      <c r="T3" s="115" t="s">
        <v>57</v>
      </c>
      <c r="U3" s="115" t="s">
        <v>58</v>
      </c>
      <c r="V3" s="115" t="s">
        <v>59</v>
      </c>
      <c r="W3" s="115" t="s">
        <v>60</v>
      </c>
      <c r="X3" s="115" t="s">
        <v>61</v>
      </c>
      <c r="Y3" s="115" t="s">
        <v>62</v>
      </c>
      <c r="Z3" s="115" t="s">
        <v>63</v>
      </c>
      <c r="AA3" s="115" t="s">
        <v>64</v>
      </c>
      <c r="AB3" s="115" t="s">
        <v>65</v>
      </c>
      <c r="AC3" s="115" t="s">
        <v>66</v>
      </c>
      <c r="AD3" s="115" t="s">
        <v>67</v>
      </c>
      <c r="AE3" s="115" t="s">
        <v>68</v>
      </c>
      <c r="AF3" s="115" t="s">
        <v>69</v>
      </c>
      <c r="AG3" s="115" t="s">
        <v>70</v>
      </c>
      <c r="AH3" s="115" t="s">
        <v>71</v>
      </c>
      <c r="AI3" s="115" t="s">
        <v>72</v>
      </c>
      <c r="AJ3" s="115" t="s">
        <v>73</v>
      </c>
      <c r="AK3" s="115" t="s">
        <v>74</v>
      </c>
      <c r="AL3" s="115" t="s">
        <v>75</v>
      </c>
      <c r="AM3" s="115" t="s">
        <v>76</v>
      </c>
      <c r="AN3" s="115" t="s">
        <v>77</v>
      </c>
      <c r="AO3" s="115" t="s">
        <v>78</v>
      </c>
      <c r="AP3" s="115" t="s">
        <v>79</v>
      </c>
      <c r="AQ3" s="115" t="s">
        <v>80</v>
      </c>
      <c r="AR3" s="115" t="s">
        <v>81</v>
      </c>
      <c r="AS3" s="115" t="s">
        <v>82</v>
      </c>
      <c r="AT3" s="115" t="s">
        <v>83</v>
      </c>
      <c r="AU3" s="115" t="s">
        <v>84</v>
      </c>
      <c r="AV3" s="115" t="s">
        <v>85</v>
      </c>
      <c r="AW3" s="115" t="s">
        <v>86</v>
      </c>
      <c r="AX3" s="115" t="s">
        <v>87</v>
      </c>
      <c r="AY3" s="115" t="s">
        <v>88</v>
      </c>
      <c r="AZ3" s="115" t="s">
        <v>89</v>
      </c>
      <c r="BA3" s="115" t="s">
        <v>90</v>
      </c>
      <c r="BB3" s="115" t="s">
        <v>91</v>
      </c>
      <c r="BC3" s="115" t="s">
        <v>92</v>
      </c>
      <c r="BD3" s="115" t="s">
        <v>93</v>
      </c>
      <c r="BE3" s="115" t="s">
        <v>94</v>
      </c>
      <c r="BF3" s="115" t="s">
        <v>95</v>
      </c>
      <c r="BG3" s="115" t="s">
        <v>96</v>
      </c>
      <c r="BH3" s="115" t="s">
        <v>97</v>
      </c>
      <c r="BI3" s="115" t="s">
        <v>98</v>
      </c>
      <c r="BJ3" s="115" t="s">
        <v>99</v>
      </c>
      <c r="BK3" s="115" t="s">
        <v>100</v>
      </c>
      <c r="BL3" s="115" t="s">
        <v>101</v>
      </c>
      <c r="BM3" s="115" t="s">
        <v>102</v>
      </c>
      <c r="BN3" s="115" t="s">
        <v>103</v>
      </c>
      <c r="BO3" s="115" t="s">
        <v>104</v>
      </c>
      <c r="BP3" s="115" t="s">
        <v>105</v>
      </c>
      <c r="BQ3" s="115" t="s">
        <v>106</v>
      </c>
      <c r="BR3" s="115" t="s">
        <v>107</v>
      </c>
      <c r="BS3" s="115" t="s">
        <v>108</v>
      </c>
      <c r="BT3" s="115" t="s">
        <v>109</v>
      </c>
      <c r="BU3" s="115" t="s">
        <v>110</v>
      </c>
      <c r="BV3" s="115" t="s">
        <v>111</v>
      </c>
      <c r="BW3" s="115" t="s">
        <v>112</v>
      </c>
      <c r="BX3" s="115" t="s">
        <v>113</v>
      </c>
      <c r="BY3" s="115" t="s">
        <v>114</v>
      </c>
      <c r="BZ3" s="115" t="s">
        <v>115</v>
      </c>
      <c r="CA3" s="115" t="s">
        <v>116</v>
      </c>
      <c r="CB3" s="115" t="s">
        <v>117</v>
      </c>
      <c r="CC3" s="115" t="s">
        <v>118</v>
      </c>
      <c r="CD3" s="115" t="s">
        <v>119</v>
      </c>
      <c r="CE3" s="115" t="s">
        <v>120</v>
      </c>
      <c r="CF3" s="115" t="s">
        <v>121</v>
      </c>
      <c r="CG3" s="115" t="s">
        <v>122</v>
      </c>
      <c r="CH3" s="115" t="s">
        <v>123</v>
      </c>
      <c r="CI3" s="115" t="s">
        <v>124</v>
      </c>
      <c r="CJ3" s="115" t="s">
        <v>125</v>
      </c>
      <c r="CK3" s="115" t="s">
        <v>126</v>
      </c>
      <c r="CL3" s="115" t="s">
        <v>127</v>
      </c>
      <c r="CM3" s="115" t="s">
        <v>128</v>
      </c>
      <c r="CN3" s="115" t="s">
        <v>129</v>
      </c>
      <c r="CO3" s="115" t="s">
        <v>130</v>
      </c>
      <c r="CP3" s="115" t="s">
        <v>131</v>
      </c>
      <c r="CQ3" s="115" t="s">
        <v>132</v>
      </c>
      <c r="CR3" s="115" t="s">
        <v>133</v>
      </c>
      <c r="CS3" s="115" t="s">
        <v>134</v>
      </c>
      <c r="CT3" s="115" t="s">
        <v>135</v>
      </c>
      <c r="CU3" s="115" t="s">
        <v>136</v>
      </c>
      <c r="CV3" s="115" t="s">
        <v>137</v>
      </c>
      <c r="CW3" s="115" t="s">
        <v>138</v>
      </c>
      <c r="CX3" s="115" t="s">
        <v>139</v>
      </c>
      <c r="CY3" s="115" t="s">
        <v>140</v>
      </c>
      <c r="CZ3" s="115" t="s">
        <v>141</v>
      </c>
      <c r="DA3" s="115" t="s">
        <v>142</v>
      </c>
      <c r="DB3" s="115" t="s">
        <v>143</v>
      </c>
      <c r="DC3" s="115" t="s">
        <v>144</v>
      </c>
      <c r="DD3" s="115" t="s">
        <v>145</v>
      </c>
      <c r="DE3" s="115" t="s">
        <v>146</v>
      </c>
      <c r="DF3" s="115" t="s">
        <v>147</v>
      </c>
      <c r="DG3" s="115" t="s">
        <v>148</v>
      </c>
      <c r="DH3" s="115" t="s">
        <v>149</v>
      </c>
      <c r="DI3" s="115" t="s">
        <v>150</v>
      </c>
      <c r="DJ3" s="115" t="s">
        <v>151</v>
      </c>
      <c r="DK3" s="115" t="s">
        <v>152</v>
      </c>
      <c r="DL3" s="115" t="s">
        <v>153</v>
      </c>
      <c r="DM3" s="115" t="s">
        <v>154</v>
      </c>
      <c r="DN3" s="115" t="s">
        <v>155</v>
      </c>
      <c r="DO3" s="115" t="s">
        <v>156</v>
      </c>
      <c r="DP3" s="115" t="s">
        <v>157</v>
      </c>
      <c r="DQ3" s="115" t="s">
        <v>158</v>
      </c>
      <c r="DR3" s="115" t="s">
        <v>159</v>
      </c>
      <c r="DS3" s="115" t="s">
        <v>160</v>
      </c>
      <c r="DT3" s="115" t="s">
        <v>161</v>
      </c>
      <c r="DU3" s="115" t="s">
        <v>162</v>
      </c>
      <c r="DV3" s="115" t="s">
        <v>163</v>
      </c>
      <c r="DW3" s="115" t="s">
        <v>164</v>
      </c>
      <c r="DX3" s="115" t="s">
        <v>165</v>
      </c>
      <c r="DY3" s="115" t="s">
        <v>166</v>
      </c>
      <c r="DZ3" s="115" t="s">
        <v>167</v>
      </c>
      <c r="EA3" s="115" t="s">
        <v>168</v>
      </c>
      <c r="EB3" s="115" t="s">
        <v>169</v>
      </c>
      <c r="EC3" s="115" t="s">
        <v>170</v>
      </c>
      <c r="ED3" s="115" t="s">
        <v>171</v>
      </c>
      <c r="EE3" s="115" t="s">
        <v>172</v>
      </c>
      <c r="EF3" s="115" t="s">
        <v>173</v>
      </c>
      <c r="EG3" s="115" t="s">
        <v>174</v>
      </c>
      <c r="EH3" s="115" t="s">
        <v>175</v>
      </c>
      <c r="EI3" s="115" t="s">
        <v>176</v>
      </c>
      <c r="EJ3" s="115" t="s">
        <v>177</v>
      </c>
      <c r="EK3" s="115" t="s">
        <v>178</v>
      </c>
      <c r="EL3" s="115" t="s">
        <v>179</v>
      </c>
      <c r="EM3" s="115" t="s">
        <v>180</v>
      </c>
      <c r="EN3" s="115" t="s">
        <v>181</v>
      </c>
      <c r="EO3" s="115" t="s">
        <v>182</v>
      </c>
      <c r="EP3" s="115" t="s">
        <v>183</v>
      </c>
      <c r="EQ3" s="115" t="s">
        <v>184</v>
      </c>
      <c r="ER3" s="115" t="s">
        <v>185</v>
      </c>
      <c r="ES3" s="115" t="s">
        <v>186</v>
      </c>
      <c r="ET3" s="115" t="s">
        <v>187</v>
      </c>
      <c r="EU3" s="115" t="s">
        <v>188</v>
      </c>
      <c r="EV3" s="115" t="s">
        <v>189</v>
      </c>
      <c r="EW3" s="115" t="s">
        <v>190</v>
      </c>
      <c r="EX3" s="115" t="s">
        <v>191</v>
      </c>
      <c r="EY3" s="115" t="s">
        <v>192</v>
      </c>
      <c r="EZ3" s="115" t="s">
        <v>193</v>
      </c>
      <c r="FA3" s="115" t="s">
        <v>194</v>
      </c>
      <c r="FB3" s="115" t="s">
        <v>195</v>
      </c>
      <c r="FC3" s="115" t="s">
        <v>196</v>
      </c>
      <c r="FD3" s="115" t="s">
        <v>197</v>
      </c>
      <c r="FE3" s="115" t="s">
        <v>198</v>
      </c>
      <c r="FF3" s="115" t="s">
        <v>199</v>
      </c>
      <c r="FG3" s="115" t="s">
        <v>200</v>
      </c>
      <c r="FH3" s="115" t="s">
        <v>201</v>
      </c>
      <c r="FI3" s="115" t="s">
        <v>202</v>
      </c>
      <c r="FJ3" s="115" t="s">
        <v>203</v>
      </c>
      <c r="FK3" s="115" t="s">
        <v>204</v>
      </c>
      <c r="FL3" s="115" t="s">
        <v>205</v>
      </c>
      <c r="FM3" s="115" t="s">
        <v>206</v>
      </c>
      <c r="FN3" s="115" t="s">
        <v>207</v>
      </c>
      <c r="FO3" s="115" t="s">
        <v>208</v>
      </c>
      <c r="FP3" s="115" t="s">
        <v>209</v>
      </c>
      <c r="FQ3" s="115" t="s">
        <v>210</v>
      </c>
      <c r="FR3" s="115" t="s">
        <v>211</v>
      </c>
      <c r="FS3" s="115" t="s">
        <v>212</v>
      </c>
      <c r="FT3" s="115" t="s">
        <v>213</v>
      </c>
      <c r="FU3" s="115" t="s">
        <v>214</v>
      </c>
      <c r="FV3" s="115" t="s">
        <v>215</v>
      </c>
      <c r="FW3" s="115" t="s">
        <v>216</v>
      </c>
      <c r="FX3" s="115" t="s">
        <v>217</v>
      </c>
      <c r="FY3" s="115" t="s">
        <v>218</v>
      </c>
      <c r="FZ3" s="115" t="s">
        <v>219</v>
      </c>
      <c r="GA3" s="115" t="s">
        <v>220</v>
      </c>
      <c r="GB3" s="115" t="s">
        <v>221</v>
      </c>
      <c r="GC3" s="115" t="s">
        <v>222</v>
      </c>
      <c r="GD3" s="115" t="s">
        <v>223</v>
      </c>
      <c r="GE3" s="115" t="s">
        <v>224</v>
      </c>
      <c r="GF3" s="115" t="s">
        <v>225</v>
      </c>
      <c r="GG3" s="115" t="s">
        <v>226</v>
      </c>
      <c r="GH3" s="115" t="s">
        <v>227</v>
      </c>
      <c r="GI3" s="115" t="s">
        <v>228</v>
      </c>
      <c r="GJ3" s="115" t="s">
        <v>229</v>
      </c>
      <c r="GK3" s="115" t="s">
        <v>230</v>
      </c>
      <c r="GL3" s="115" t="s">
        <v>231</v>
      </c>
    </row>
    <row r="4" spans="1:197" x14ac:dyDescent="0.25">
      <c r="A4" s="14" t="s">
        <v>0</v>
      </c>
      <c r="C4" s="15" t="s">
        <v>1</v>
      </c>
      <c r="D4" s="15"/>
      <c r="E4" s="15"/>
      <c r="F4" s="15"/>
      <c r="G4" s="15"/>
      <c r="H4" s="15"/>
      <c r="I4" s="15"/>
      <c r="J4" s="15"/>
      <c r="K4" s="15" t="s">
        <v>232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16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6"/>
      <c r="BG4" s="15" t="s">
        <v>233</v>
      </c>
      <c r="BH4" s="15"/>
      <c r="BI4" s="15"/>
      <c r="BJ4" s="15"/>
      <c r="BK4" s="15"/>
      <c r="BL4" s="15"/>
      <c r="BM4" s="15" t="s">
        <v>233</v>
      </c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6"/>
      <c r="DG4" s="15" t="s">
        <v>2</v>
      </c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6"/>
      <c r="EF4" s="15" t="s">
        <v>3</v>
      </c>
      <c r="EG4" s="15"/>
      <c r="EH4" s="15"/>
      <c r="EI4" s="15"/>
      <c r="EJ4" s="15"/>
      <c r="EK4" s="16"/>
      <c r="EL4" s="15" t="s">
        <v>4</v>
      </c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7"/>
      <c r="EZ4" s="17"/>
      <c r="FA4" s="17"/>
      <c r="FB4" s="17"/>
      <c r="FC4" s="15"/>
      <c r="FD4" s="15"/>
      <c r="FE4" s="17"/>
      <c r="FF4" s="17"/>
      <c r="FG4" s="17"/>
      <c r="FH4" s="17"/>
      <c r="FI4" s="15"/>
      <c r="FJ4" s="15"/>
      <c r="FK4" s="17"/>
      <c r="FL4" s="17"/>
      <c r="FM4" s="17"/>
      <c r="FN4" s="17"/>
      <c r="FP4" s="15" t="s">
        <v>5</v>
      </c>
      <c r="FQ4" s="15"/>
      <c r="FR4" s="15"/>
      <c r="FS4" s="15"/>
      <c r="FT4" s="18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N4" s="117" t="s">
        <v>234</v>
      </c>
      <c r="GO4" s="117" t="s">
        <v>235</v>
      </c>
    </row>
    <row r="5" spans="1:197" x14ac:dyDescent="0.25">
      <c r="C5" s="19" t="s">
        <v>6</v>
      </c>
      <c r="D5" s="19"/>
      <c r="E5" s="19"/>
      <c r="F5" s="19"/>
      <c r="G5" s="19"/>
      <c r="H5" s="19"/>
      <c r="I5" s="19"/>
      <c r="J5" s="20"/>
      <c r="K5" s="19" t="s">
        <v>7</v>
      </c>
      <c r="L5" s="19"/>
      <c r="M5" s="19"/>
      <c r="N5" s="19"/>
      <c r="O5" s="19"/>
      <c r="P5" s="19"/>
      <c r="Q5" s="19"/>
      <c r="R5" s="20"/>
      <c r="S5" s="19" t="s">
        <v>8</v>
      </c>
      <c r="T5" s="19"/>
      <c r="U5" s="19"/>
      <c r="V5" s="19"/>
      <c r="W5" s="19"/>
      <c r="X5" s="19"/>
      <c r="Y5" s="19"/>
      <c r="Z5" s="118"/>
      <c r="AA5" s="19" t="s">
        <v>9</v>
      </c>
      <c r="AB5" s="19"/>
      <c r="AC5" s="19"/>
      <c r="AD5" s="19"/>
      <c r="AE5" s="19"/>
      <c r="AF5" s="19"/>
      <c r="AG5" s="19"/>
      <c r="AH5" s="20"/>
      <c r="AI5" s="19" t="s">
        <v>10</v>
      </c>
      <c r="AJ5" s="19"/>
      <c r="AK5" s="19"/>
      <c r="AL5" s="19"/>
      <c r="AM5" s="19"/>
      <c r="AN5" s="19"/>
      <c r="AO5" s="19"/>
      <c r="AP5" s="20"/>
      <c r="AQ5" s="19" t="s">
        <v>11</v>
      </c>
      <c r="AR5" s="19"/>
      <c r="AS5" s="19"/>
      <c r="AT5" s="19"/>
      <c r="AU5" s="19"/>
      <c r="AV5" s="19"/>
      <c r="AW5" s="19"/>
      <c r="AX5" s="20"/>
      <c r="AY5" s="19" t="s">
        <v>12</v>
      </c>
      <c r="AZ5" s="19"/>
      <c r="BA5" s="19"/>
      <c r="BB5" s="19"/>
      <c r="BC5" s="19"/>
      <c r="BD5" s="19"/>
      <c r="BE5" s="19"/>
      <c r="BF5" s="20"/>
      <c r="BG5" s="19" t="s">
        <v>13</v>
      </c>
      <c r="BH5" s="19"/>
      <c r="BI5" s="19"/>
      <c r="BJ5" s="19"/>
      <c r="BK5" s="19"/>
      <c r="BL5" s="20"/>
      <c r="BM5" s="19" t="s">
        <v>14</v>
      </c>
      <c r="BN5" s="19"/>
      <c r="BO5" s="19"/>
      <c r="BP5" s="19"/>
      <c r="BQ5" s="19"/>
      <c r="BR5" s="20"/>
      <c r="BS5" s="119" t="s">
        <v>8</v>
      </c>
      <c r="BT5" s="120"/>
      <c r="BU5" s="120"/>
      <c r="BV5" s="120"/>
      <c r="BW5" s="120"/>
      <c r="BX5" s="120"/>
      <c r="BY5" s="120"/>
      <c r="BZ5" s="120"/>
      <c r="CA5" s="19" t="s">
        <v>9</v>
      </c>
      <c r="CB5" s="19"/>
      <c r="CC5" s="19"/>
      <c r="CD5" s="19"/>
      <c r="CE5" s="19"/>
      <c r="CF5" s="19"/>
      <c r="CG5" s="19"/>
      <c r="CH5" s="20"/>
      <c r="CI5" s="19" t="s">
        <v>10</v>
      </c>
      <c r="CJ5" s="19"/>
      <c r="CK5" s="19"/>
      <c r="CL5" s="19"/>
      <c r="CM5" s="19"/>
      <c r="CN5" s="19"/>
      <c r="CO5" s="19"/>
      <c r="CP5" s="20"/>
      <c r="CQ5" s="19" t="s">
        <v>11</v>
      </c>
      <c r="CR5" s="19"/>
      <c r="CS5" s="19"/>
      <c r="CT5" s="19"/>
      <c r="CU5" s="19"/>
      <c r="CV5" s="19"/>
      <c r="CW5" s="19"/>
      <c r="CX5" s="20"/>
      <c r="CY5" s="19" t="s">
        <v>12</v>
      </c>
      <c r="CZ5" s="19"/>
      <c r="DA5" s="19"/>
      <c r="DB5" s="19"/>
      <c r="DC5" s="19"/>
      <c r="DD5" s="19"/>
      <c r="DE5" s="19"/>
      <c r="DF5" s="20"/>
      <c r="DG5" s="19" t="s">
        <v>14</v>
      </c>
      <c r="DH5" s="19"/>
      <c r="DI5" s="19"/>
      <c r="DJ5" s="19"/>
      <c r="DK5" s="16"/>
      <c r="DL5" s="19" t="s">
        <v>8</v>
      </c>
      <c r="DM5" s="19"/>
      <c r="DN5" s="19"/>
      <c r="DO5" s="19"/>
      <c r="DP5" s="16"/>
      <c r="DQ5" s="19" t="s">
        <v>9</v>
      </c>
      <c r="DR5" s="19"/>
      <c r="DS5" s="19"/>
      <c r="DT5" s="19"/>
      <c r="DU5" s="20"/>
      <c r="DV5" s="19" t="s">
        <v>10</v>
      </c>
      <c r="DW5" s="19"/>
      <c r="DX5" s="19"/>
      <c r="DY5" s="19"/>
      <c r="DZ5" s="20"/>
      <c r="EA5" s="19" t="s">
        <v>11</v>
      </c>
      <c r="EB5" s="19"/>
      <c r="EC5" s="19"/>
      <c r="ED5" s="19"/>
      <c r="EE5" s="20"/>
      <c r="EF5" s="19" t="s">
        <v>15</v>
      </c>
      <c r="EG5" s="19"/>
      <c r="EH5" s="19"/>
      <c r="EI5" s="19"/>
      <c r="EJ5" s="19"/>
      <c r="EK5" s="20"/>
      <c r="EL5" s="19" t="s">
        <v>14</v>
      </c>
      <c r="EM5" s="19"/>
      <c r="EN5" s="19"/>
      <c r="EO5" s="19"/>
      <c r="EP5" s="21"/>
      <c r="EQ5" s="20"/>
      <c r="ER5" s="19" t="s">
        <v>8</v>
      </c>
      <c r="ES5" s="19"/>
      <c r="ET5" s="19"/>
      <c r="EU5" s="19"/>
      <c r="EV5" s="21"/>
      <c r="EW5" s="16"/>
      <c r="EX5" s="19" t="s">
        <v>9</v>
      </c>
      <c r="EY5" s="22"/>
      <c r="EZ5" s="22"/>
      <c r="FA5" s="22"/>
      <c r="FB5" s="22"/>
      <c r="FC5" s="20"/>
      <c r="FD5" s="19" t="s">
        <v>10</v>
      </c>
      <c r="FE5" s="22"/>
      <c r="FF5" s="22"/>
      <c r="FG5" s="22"/>
      <c r="FH5" s="22"/>
      <c r="FI5" s="20"/>
      <c r="FJ5" s="19" t="s">
        <v>11</v>
      </c>
      <c r="FK5" s="22"/>
      <c r="FL5" s="22"/>
      <c r="FM5" s="22"/>
      <c r="FN5" s="22"/>
      <c r="FP5" s="19" t="s">
        <v>16</v>
      </c>
      <c r="FQ5" s="19"/>
      <c r="FR5" s="19"/>
      <c r="FS5" s="19"/>
      <c r="FT5" s="23"/>
      <c r="FV5" s="19" t="s">
        <v>17</v>
      </c>
      <c r="FW5" s="19"/>
      <c r="FX5" s="19"/>
      <c r="FY5" s="19"/>
      <c r="FZ5" s="19"/>
      <c r="GB5" s="19" t="s">
        <v>18</v>
      </c>
      <c r="GC5" s="19"/>
      <c r="GD5" s="19"/>
      <c r="GE5" s="19"/>
      <c r="GF5" s="19"/>
      <c r="GH5" s="19" t="s">
        <v>19</v>
      </c>
      <c r="GI5" s="19"/>
      <c r="GJ5" s="19"/>
      <c r="GK5" s="19"/>
      <c r="GL5" s="19"/>
      <c r="GN5" s="121"/>
      <c r="GO5" s="121"/>
    </row>
    <row r="6" spans="1:197" x14ac:dyDescent="0.25">
      <c r="A6" s="8"/>
      <c r="B6" s="8"/>
      <c r="C6" s="24" t="s">
        <v>20</v>
      </c>
      <c r="D6" s="24" t="s">
        <v>21</v>
      </c>
      <c r="E6" s="24" t="s">
        <v>22</v>
      </c>
      <c r="F6" s="24" t="s">
        <v>23</v>
      </c>
      <c r="G6" s="24" t="s">
        <v>24</v>
      </c>
      <c r="H6" s="24" t="s">
        <v>25</v>
      </c>
      <c r="I6" s="24" t="s">
        <v>13</v>
      </c>
      <c r="J6" s="24"/>
      <c r="K6" s="24" t="s">
        <v>20</v>
      </c>
      <c r="L6" s="24" t="s">
        <v>21</v>
      </c>
      <c r="M6" s="24" t="s">
        <v>22</v>
      </c>
      <c r="N6" s="24" t="s">
        <v>23</v>
      </c>
      <c r="O6" s="24" t="s">
        <v>24</v>
      </c>
      <c r="P6" s="24" t="s">
        <v>25</v>
      </c>
      <c r="Q6" s="24" t="s">
        <v>13</v>
      </c>
      <c r="R6" s="24"/>
      <c r="S6" s="24" t="s">
        <v>20</v>
      </c>
      <c r="T6" s="24" t="s">
        <v>21</v>
      </c>
      <c r="U6" s="24" t="s">
        <v>22</v>
      </c>
      <c r="V6" s="24" t="s">
        <v>23</v>
      </c>
      <c r="W6" s="24" t="s">
        <v>24</v>
      </c>
      <c r="X6" s="24" t="s">
        <v>25</v>
      </c>
      <c r="Y6" s="24" t="s">
        <v>13</v>
      </c>
      <c r="Z6" s="24"/>
      <c r="AA6" s="24" t="s">
        <v>20</v>
      </c>
      <c r="AB6" s="24" t="s">
        <v>21</v>
      </c>
      <c r="AC6" s="24" t="s">
        <v>22</v>
      </c>
      <c r="AD6" s="24" t="s">
        <v>23</v>
      </c>
      <c r="AE6" s="24" t="s">
        <v>24</v>
      </c>
      <c r="AF6" s="24" t="s">
        <v>25</v>
      </c>
      <c r="AG6" s="24" t="s">
        <v>13</v>
      </c>
      <c r="AH6" s="24"/>
      <c r="AI6" s="24" t="s">
        <v>20</v>
      </c>
      <c r="AJ6" s="24" t="s">
        <v>21</v>
      </c>
      <c r="AK6" s="24" t="s">
        <v>22</v>
      </c>
      <c r="AL6" s="24" t="s">
        <v>23</v>
      </c>
      <c r="AM6" s="24" t="s">
        <v>24</v>
      </c>
      <c r="AN6" s="24" t="s">
        <v>25</v>
      </c>
      <c r="AO6" s="24" t="s">
        <v>13</v>
      </c>
      <c r="AP6" s="24"/>
      <c r="AQ6" s="24" t="s">
        <v>20</v>
      </c>
      <c r="AR6" s="24" t="s">
        <v>21</v>
      </c>
      <c r="AS6" s="24" t="s">
        <v>22</v>
      </c>
      <c r="AT6" s="24" t="s">
        <v>23</v>
      </c>
      <c r="AU6" s="24" t="s">
        <v>24</v>
      </c>
      <c r="AV6" s="24" t="s">
        <v>25</v>
      </c>
      <c r="AW6" s="24" t="s">
        <v>13</v>
      </c>
      <c r="AX6" s="24"/>
      <c r="AY6" s="24" t="s">
        <v>20</v>
      </c>
      <c r="AZ6" s="24" t="s">
        <v>21</v>
      </c>
      <c r="BA6" s="24" t="s">
        <v>22</v>
      </c>
      <c r="BB6" s="24" t="s">
        <v>23</v>
      </c>
      <c r="BC6" s="24" t="s">
        <v>24</v>
      </c>
      <c r="BD6" s="24" t="s">
        <v>25</v>
      </c>
      <c r="BE6" s="24" t="s">
        <v>13</v>
      </c>
      <c r="BF6" s="24"/>
      <c r="BG6" s="24" t="s">
        <v>20</v>
      </c>
      <c r="BH6" s="24" t="s">
        <v>21</v>
      </c>
      <c r="BI6" s="24" t="s">
        <v>24</v>
      </c>
      <c r="BJ6" s="24" t="s">
        <v>25</v>
      </c>
      <c r="BK6" s="24" t="s">
        <v>13</v>
      </c>
      <c r="BL6" s="24"/>
      <c r="BM6" s="24" t="s">
        <v>20</v>
      </c>
      <c r="BN6" s="24" t="s">
        <v>21</v>
      </c>
      <c r="BO6" s="24" t="s">
        <v>24</v>
      </c>
      <c r="BP6" s="24" t="s">
        <v>25</v>
      </c>
      <c r="BQ6" s="24" t="s">
        <v>13</v>
      </c>
      <c r="BR6" s="24"/>
      <c r="BS6" s="24" t="s">
        <v>20</v>
      </c>
      <c r="BT6" s="24" t="s">
        <v>21</v>
      </c>
      <c r="BU6" s="24" t="s">
        <v>22</v>
      </c>
      <c r="BV6" s="24" t="s">
        <v>23</v>
      </c>
      <c r="BW6" s="24" t="s">
        <v>24</v>
      </c>
      <c r="BX6" s="24" t="s">
        <v>25</v>
      </c>
      <c r="BY6" s="24" t="s">
        <v>13</v>
      </c>
      <c r="BZ6" s="24"/>
      <c r="CA6" s="24" t="s">
        <v>20</v>
      </c>
      <c r="CB6" s="24" t="s">
        <v>21</v>
      </c>
      <c r="CC6" s="24" t="s">
        <v>22</v>
      </c>
      <c r="CD6" s="24" t="s">
        <v>23</v>
      </c>
      <c r="CE6" s="24" t="s">
        <v>24</v>
      </c>
      <c r="CF6" s="24" t="s">
        <v>25</v>
      </c>
      <c r="CG6" s="24" t="s">
        <v>13</v>
      </c>
      <c r="CH6" s="24"/>
      <c r="CI6" s="24" t="s">
        <v>20</v>
      </c>
      <c r="CJ6" s="24" t="s">
        <v>21</v>
      </c>
      <c r="CK6" s="24" t="s">
        <v>22</v>
      </c>
      <c r="CL6" s="24" t="s">
        <v>23</v>
      </c>
      <c r="CM6" s="24" t="s">
        <v>24</v>
      </c>
      <c r="CN6" s="24" t="s">
        <v>25</v>
      </c>
      <c r="CO6" s="24" t="s">
        <v>13</v>
      </c>
      <c r="CP6" s="24"/>
      <c r="CQ6" s="24" t="s">
        <v>20</v>
      </c>
      <c r="CR6" s="24" t="s">
        <v>21</v>
      </c>
      <c r="CS6" s="24" t="s">
        <v>22</v>
      </c>
      <c r="CT6" s="24" t="s">
        <v>23</v>
      </c>
      <c r="CU6" s="24" t="s">
        <v>24</v>
      </c>
      <c r="CV6" s="24" t="s">
        <v>25</v>
      </c>
      <c r="CW6" s="24" t="s">
        <v>13</v>
      </c>
      <c r="CX6" s="24"/>
      <c r="CY6" s="24" t="s">
        <v>20</v>
      </c>
      <c r="CZ6" s="24" t="s">
        <v>21</v>
      </c>
      <c r="DA6" s="24" t="s">
        <v>22</v>
      </c>
      <c r="DB6" s="24" t="s">
        <v>23</v>
      </c>
      <c r="DC6" s="24" t="s">
        <v>24</v>
      </c>
      <c r="DD6" s="24" t="s">
        <v>25</v>
      </c>
      <c r="DE6" s="24" t="s">
        <v>13</v>
      </c>
      <c r="DF6" s="24"/>
      <c r="DG6" s="24" t="s">
        <v>20</v>
      </c>
      <c r="DH6" s="24" t="s">
        <v>21</v>
      </c>
      <c r="DI6" s="24" t="s">
        <v>24</v>
      </c>
      <c r="DJ6" s="24" t="s">
        <v>25</v>
      </c>
      <c r="DK6" s="24"/>
      <c r="DL6" s="24" t="s">
        <v>20</v>
      </c>
      <c r="DM6" s="24" t="s">
        <v>21</v>
      </c>
      <c r="DN6" s="24" t="s">
        <v>24</v>
      </c>
      <c r="DO6" s="24" t="s">
        <v>25</v>
      </c>
      <c r="DP6" s="24"/>
      <c r="DQ6" s="24" t="s">
        <v>20</v>
      </c>
      <c r="DR6" s="24" t="s">
        <v>21</v>
      </c>
      <c r="DS6" s="24" t="s">
        <v>24</v>
      </c>
      <c r="DT6" s="24" t="s">
        <v>25</v>
      </c>
      <c r="DU6" s="24"/>
      <c r="DV6" s="24" t="s">
        <v>20</v>
      </c>
      <c r="DW6" s="24" t="s">
        <v>21</v>
      </c>
      <c r="DX6" s="24" t="s">
        <v>24</v>
      </c>
      <c r="DY6" s="24" t="s">
        <v>25</v>
      </c>
      <c r="DZ6" s="24"/>
      <c r="EA6" s="24" t="s">
        <v>20</v>
      </c>
      <c r="EB6" s="24" t="s">
        <v>21</v>
      </c>
      <c r="EC6" s="24" t="s">
        <v>24</v>
      </c>
      <c r="ED6" s="24" t="s">
        <v>25</v>
      </c>
      <c r="EE6" s="24"/>
      <c r="EF6" s="24" t="s">
        <v>26</v>
      </c>
      <c r="EG6" s="24" t="s">
        <v>27</v>
      </c>
      <c r="EH6" s="24" t="s">
        <v>28</v>
      </c>
      <c r="EI6" s="24" t="s">
        <v>29</v>
      </c>
      <c r="EJ6" s="24" t="s">
        <v>30</v>
      </c>
      <c r="EK6" s="24"/>
      <c r="EL6" s="24" t="s">
        <v>20</v>
      </c>
      <c r="EM6" s="24" t="s">
        <v>21</v>
      </c>
      <c r="EN6" s="24" t="s">
        <v>24</v>
      </c>
      <c r="EO6" s="24" t="s">
        <v>25</v>
      </c>
      <c r="EP6" s="24" t="s">
        <v>13</v>
      </c>
      <c r="EQ6" s="24"/>
      <c r="ER6" s="24" t="s">
        <v>20</v>
      </c>
      <c r="ES6" s="24" t="s">
        <v>21</v>
      </c>
      <c r="ET6" s="24" t="s">
        <v>24</v>
      </c>
      <c r="EU6" s="24" t="s">
        <v>25</v>
      </c>
      <c r="EV6" s="24" t="s">
        <v>13</v>
      </c>
      <c r="EW6" s="24"/>
      <c r="EX6" s="24" t="s">
        <v>20</v>
      </c>
      <c r="EY6" s="25" t="s">
        <v>21</v>
      </c>
      <c r="EZ6" s="25" t="s">
        <v>24</v>
      </c>
      <c r="FA6" s="25" t="s">
        <v>25</v>
      </c>
      <c r="FB6" s="25" t="s">
        <v>13</v>
      </c>
      <c r="FC6" s="24"/>
      <c r="FD6" s="24" t="s">
        <v>20</v>
      </c>
      <c r="FE6" s="25" t="s">
        <v>21</v>
      </c>
      <c r="FF6" s="25" t="s">
        <v>24</v>
      </c>
      <c r="FG6" s="25" t="s">
        <v>25</v>
      </c>
      <c r="FH6" s="25" t="s">
        <v>13</v>
      </c>
      <c r="FI6" s="24"/>
      <c r="FJ6" s="24" t="s">
        <v>20</v>
      </c>
      <c r="FK6" s="25" t="s">
        <v>21</v>
      </c>
      <c r="FL6" s="25" t="s">
        <v>24</v>
      </c>
      <c r="FM6" s="25" t="s">
        <v>25</v>
      </c>
      <c r="FN6" s="25" t="s">
        <v>13</v>
      </c>
      <c r="FO6" s="8"/>
      <c r="FP6" s="20" t="s">
        <v>26</v>
      </c>
      <c r="FQ6" s="20" t="s">
        <v>27</v>
      </c>
      <c r="FR6" s="20" t="s">
        <v>28</v>
      </c>
      <c r="FS6" s="20" t="s">
        <v>31</v>
      </c>
      <c r="FT6" s="26" t="s">
        <v>13</v>
      </c>
      <c r="FU6" s="20"/>
      <c r="FV6" s="20" t="s">
        <v>26</v>
      </c>
      <c r="FW6" s="20" t="s">
        <v>27</v>
      </c>
      <c r="FX6" s="20" t="s">
        <v>28</v>
      </c>
      <c r="FY6" s="20" t="s">
        <v>31</v>
      </c>
      <c r="FZ6" s="20" t="s">
        <v>13</v>
      </c>
      <c r="GB6" s="20" t="s">
        <v>26</v>
      </c>
      <c r="GC6" s="20" t="s">
        <v>27</v>
      </c>
      <c r="GD6" s="20" t="s">
        <v>28</v>
      </c>
      <c r="GE6" s="20" t="s">
        <v>31</v>
      </c>
      <c r="GF6" s="20" t="s">
        <v>13</v>
      </c>
      <c r="GG6" s="20"/>
      <c r="GH6" s="20" t="s">
        <v>26</v>
      </c>
      <c r="GI6" s="20" t="s">
        <v>27</v>
      </c>
      <c r="GJ6" s="20" t="s">
        <v>28</v>
      </c>
      <c r="GK6" s="20" t="s">
        <v>31</v>
      </c>
      <c r="GL6" s="20" t="s">
        <v>13</v>
      </c>
    </row>
    <row r="7" spans="1:197" s="51" customFormat="1" x14ac:dyDescent="0.25">
      <c r="A7" s="27" t="s">
        <v>32</v>
      </c>
      <c r="B7" s="27"/>
      <c r="C7" s="28">
        <f t="shared" ref="C7:I11" si="0">IF(SUM(S7,AA7,AI7,AY7)&lt;=0,"-",SUM(S7,AA7,AI7,AQ7,AY7))</f>
        <v>2227.8669999999997</v>
      </c>
      <c r="D7" s="28">
        <f t="shared" si="0"/>
        <v>107.41699999999999</v>
      </c>
      <c r="E7" s="28">
        <f t="shared" si="0"/>
        <v>89.617999999999981</v>
      </c>
      <c r="F7" s="28">
        <f t="shared" si="0"/>
        <v>0.41700000000000004</v>
      </c>
      <c r="G7" s="28">
        <f t="shared" si="0"/>
        <v>14.485999999999999</v>
      </c>
      <c r="H7" s="28">
        <f t="shared" si="0"/>
        <v>0.34600000000000003</v>
      </c>
      <c r="I7" s="28">
        <f>IF(SUM(Y7,AG7,AO7,BE7)&lt;=0,"-",SUM(Y7,AG7,AO7,AW7,BE7))</f>
        <v>2350.116</v>
      </c>
      <c r="J7" s="28"/>
      <c r="K7" s="28">
        <f>IF(SUM(S7,AA7,AI7,AQ7)&lt;=0,"-",SUM(S7,AA7,AI7,AQ7))</f>
        <v>2227.8669999999997</v>
      </c>
      <c r="L7" s="28">
        <f t="shared" ref="L7:Q10" si="1">IF(SUM(T7,AB7,AJ7,AR7)&lt;=0,"-",SUM(T7,AB7,AJ7,AR7))</f>
        <v>107.41699999999999</v>
      </c>
      <c r="M7" s="28">
        <f t="shared" si="1"/>
        <v>89.617999999999981</v>
      </c>
      <c r="N7" s="28">
        <f t="shared" si="1"/>
        <v>0.41700000000000004</v>
      </c>
      <c r="O7" s="28">
        <f t="shared" si="1"/>
        <v>14.485999999999999</v>
      </c>
      <c r="P7" s="28">
        <f t="shared" si="1"/>
        <v>0.34600000000000003</v>
      </c>
      <c r="Q7" s="28">
        <f t="shared" si="1"/>
        <v>2350.116</v>
      </c>
      <c r="R7" s="28"/>
      <c r="S7" s="29">
        <v>312.03100000000001</v>
      </c>
      <c r="T7" s="29">
        <v>7.077</v>
      </c>
      <c r="U7" s="30" t="s">
        <v>33</v>
      </c>
      <c r="V7" s="30" t="s">
        <v>33</v>
      </c>
      <c r="W7" s="29">
        <v>3.07</v>
      </c>
      <c r="X7" s="29">
        <v>0</v>
      </c>
      <c r="Y7" s="31">
        <f t="shared" ref="Y7:Y9" si="2">SUM(S7:T7,W7:X7)</f>
        <v>322.178</v>
      </c>
      <c r="Z7" s="32"/>
      <c r="AA7" s="33">
        <f>101.638+221.49+0.802</f>
        <v>323.93000000000006</v>
      </c>
      <c r="AB7" s="33">
        <f>8.674+1.63+0.001</f>
        <v>10.304999999999998</v>
      </c>
      <c r="AC7" s="34" t="s">
        <v>33</v>
      </c>
      <c r="AD7" s="34" t="s">
        <v>33</v>
      </c>
      <c r="AE7" s="34">
        <f>1.781+0.194+0.001</f>
        <v>1.9759999999999998</v>
      </c>
      <c r="AF7" s="33">
        <v>0</v>
      </c>
      <c r="AG7" s="35">
        <f t="shared" ref="AG7:AG9" si="3">SUM(AA7:AB7,AE7:AF7)</f>
        <v>336.21100000000007</v>
      </c>
      <c r="AH7" s="32"/>
      <c r="AI7" s="36">
        <f>472.253+259.138+12.54</f>
        <v>743.93099999999993</v>
      </c>
      <c r="AJ7" s="36">
        <f>59.599+18.804+2.076</f>
        <v>80.478999999999985</v>
      </c>
      <c r="AK7" s="37">
        <f t="shared" ref="AK7:AK9" si="4">AJ7-AL7</f>
        <v>80.09399999999998</v>
      </c>
      <c r="AL7" s="36">
        <v>0.38500000000000001</v>
      </c>
      <c r="AM7" s="36">
        <f>8.315+0.573+0.184</f>
        <v>9.0719999999999992</v>
      </c>
      <c r="AN7" s="36">
        <f>0.332+0.009+0.004</f>
        <v>0.34500000000000003</v>
      </c>
      <c r="AO7" s="35">
        <f t="shared" ref="AO7:AO9" si="5">SUM(AI7:AJ7,AM7:AN7)</f>
        <v>833.82699999999988</v>
      </c>
      <c r="AP7" s="32"/>
      <c r="AQ7" s="38">
        <f>65.661+67.769+97.003+4.342+613.2</f>
        <v>847.97500000000002</v>
      </c>
      <c r="AR7" s="38">
        <f>4.832+1.45+1.184+0.263+1.827</f>
        <v>9.5560000000000009</v>
      </c>
      <c r="AS7" s="32">
        <f>AR7-AT7</f>
        <v>9.5240000000000009</v>
      </c>
      <c r="AT7" s="38">
        <f>0.002+0.03</f>
        <v>3.2000000000000001E-2</v>
      </c>
      <c r="AU7" s="38">
        <f>0.212+0.004+0.001+0.151</f>
        <v>0.36799999999999999</v>
      </c>
      <c r="AV7" s="38">
        <v>1E-3</v>
      </c>
      <c r="AW7" s="32">
        <f t="shared" ref="AW7:AW9" si="6">SUM(AQ7:AR7,AU7:AV7)</f>
        <v>857.90000000000009</v>
      </c>
      <c r="AX7" s="32"/>
      <c r="AY7" s="39" t="s">
        <v>33</v>
      </c>
      <c r="AZ7" s="39" t="s">
        <v>33</v>
      </c>
      <c r="BA7" s="39" t="s">
        <v>33</v>
      </c>
      <c r="BB7" s="39" t="s">
        <v>33</v>
      </c>
      <c r="BC7" s="39" t="s">
        <v>33</v>
      </c>
      <c r="BD7" s="39" t="s">
        <v>33</v>
      </c>
      <c r="BE7" s="39">
        <f t="shared" ref="BE7:BE10" si="7">SUM(AY7:AZ7,BC7:BD7)</f>
        <v>0</v>
      </c>
      <c r="BF7" s="32"/>
      <c r="BG7" s="28">
        <f>IF(SUM(BS7,CA7,CI7,CY7,CQ7)&lt;=0,"-",SUM(BS7,CA7,CI7,CY7,CQ7))</f>
        <v>1502</v>
      </c>
      <c r="BH7" s="28">
        <f>IF(SUM(BT7,CB7,CJ7,CZ7,CR7)&lt;=0,"-",SUM(BT7,CB7,CJ7,CZ7,CR7))</f>
        <v>2479</v>
      </c>
      <c r="BI7" s="28">
        <f>IF(SUM(BW7,CE7,CM7,DC7,CU7)&lt;=0,"-",SUM(BW7,CE7,CM7,DC7,CU7))</f>
        <v>5163</v>
      </c>
      <c r="BJ7" s="28">
        <f>IF(SUM(BX7,CF7,CN7,DD7,CV7)&lt;=0,"-",SUM(BX7,CF7,CN7,DD7,CV7))</f>
        <v>99</v>
      </c>
      <c r="BK7" s="28">
        <f>IF(SUM(BY7,CG7,CO7,DE7,CW7)&lt;=0,"-",SUM(BY7,CG7,CO7,DE7,CW7))</f>
        <v>9243</v>
      </c>
      <c r="BL7" s="28"/>
      <c r="BM7" s="28">
        <f>IF(SUM(BS7,CA7,CI7,CQ7)&lt;=0,"-",SUM(BS7,CA7,CI7,CQ7))</f>
        <v>1502</v>
      </c>
      <c r="BN7" s="28">
        <f>IF(SUM(BT7,CB7,CJ7,CR7)&lt;=0,"-",SUM(BT7,CB7,CJ7,CR7))</f>
        <v>2479</v>
      </c>
      <c r="BO7" s="28">
        <f>IF(SUM(BW7,CE7,CM7,CU7)&lt;=0,"-",SUM(BW7,CE7,CM7,CU7))</f>
        <v>5163</v>
      </c>
      <c r="BP7" s="28">
        <f>IF(SUM(BX7,CF7,CN7,CV7)&lt;=0,"-",SUM(BX7,CF7,CN7,CV7))</f>
        <v>99</v>
      </c>
      <c r="BQ7" s="28">
        <f>IF(SUM(BY7,CG7,CO7,CW7)&lt;=0,"-",SUM(BY7,CG7,CO7,CW7))</f>
        <v>9243</v>
      </c>
      <c r="BR7" s="28"/>
      <c r="BS7" s="33">
        <v>39</v>
      </c>
      <c r="BT7" s="33">
        <v>68</v>
      </c>
      <c r="BU7" s="34" t="s">
        <v>33</v>
      </c>
      <c r="BV7" s="34" t="s">
        <v>33</v>
      </c>
      <c r="BW7" s="33">
        <v>422</v>
      </c>
      <c r="BX7" s="33">
        <v>0</v>
      </c>
      <c r="BY7" s="35">
        <f t="shared" ref="BY7:BY9" si="8">SUM(BS7:BT7,BW7:BX7)</f>
        <v>529</v>
      </c>
      <c r="BZ7" s="32"/>
      <c r="CA7" s="40">
        <f>544+14</f>
        <v>558</v>
      </c>
      <c r="CB7" s="40">
        <f>1268+2</f>
        <v>1270</v>
      </c>
      <c r="CC7" s="41" t="s">
        <v>33</v>
      </c>
      <c r="CD7" s="41" t="s">
        <v>33</v>
      </c>
      <c r="CE7" s="41">
        <v>793</v>
      </c>
      <c r="CF7" s="40">
        <v>0</v>
      </c>
      <c r="CG7" s="42">
        <f t="shared" ref="CG7:CG9" si="9">SUM(CA7:CB7,CE7:CF7)</f>
        <v>2621</v>
      </c>
      <c r="CH7" s="32"/>
      <c r="CI7" s="43">
        <f>672+118+14</f>
        <v>804</v>
      </c>
      <c r="CJ7" s="43">
        <f>920+130+21</f>
        <v>1071</v>
      </c>
      <c r="CK7" s="44">
        <f t="shared" ref="CK7:CK9" si="10">CJ7-CL7</f>
        <v>1041</v>
      </c>
      <c r="CL7" s="41">
        <v>30</v>
      </c>
      <c r="CM7" s="40">
        <f>3747+59+9</f>
        <v>3815</v>
      </c>
      <c r="CN7" s="40">
        <v>99</v>
      </c>
      <c r="CO7" s="42">
        <f t="shared" ref="CO7:CO9" si="11">SUM(CI7:CJ7,CM7:CN7)</f>
        <v>5789</v>
      </c>
      <c r="CP7" s="32"/>
      <c r="CQ7" s="38">
        <f>42+7+14+38</f>
        <v>101</v>
      </c>
      <c r="CR7" s="38">
        <f>28+2+2+38</f>
        <v>70</v>
      </c>
      <c r="CS7" s="45">
        <f>CR7-CT7</f>
        <v>70</v>
      </c>
      <c r="CT7" s="39">
        <v>0</v>
      </c>
      <c r="CU7" s="38">
        <f>90+1+42</f>
        <v>133</v>
      </c>
      <c r="CV7" s="38">
        <v>0</v>
      </c>
      <c r="CW7" s="32">
        <f t="shared" ref="CW7:CW9" si="12">SUM(CQ7:CR7,CU7:CV7)</f>
        <v>304</v>
      </c>
      <c r="CX7" s="32"/>
      <c r="CY7" s="46" t="s">
        <v>33</v>
      </c>
      <c r="CZ7" s="46" t="s">
        <v>33</v>
      </c>
      <c r="DA7" s="46" t="s">
        <v>33</v>
      </c>
      <c r="DB7" s="46" t="s">
        <v>33</v>
      </c>
      <c r="DC7" s="46" t="s">
        <v>33</v>
      </c>
      <c r="DD7" s="46" t="s">
        <v>33</v>
      </c>
      <c r="DE7" s="32">
        <f>SUM(CY7:CZ7,DC7:DD7)</f>
        <v>0</v>
      </c>
      <c r="DF7" s="32"/>
      <c r="DG7" s="47">
        <f>IF(ISERROR(K7/$Q7),"-",IF(K7/$Q7&lt;=0,"-",K7/$Q7))</f>
        <v>0.94798171664717812</v>
      </c>
      <c r="DH7" s="47">
        <f>IF(ISERROR(L7/$Q7),"-",IF(L7/$Q7&lt;=0,"-",L7/$Q7))</f>
        <v>4.5707105521599782E-2</v>
      </c>
      <c r="DI7" s="47">
        <f>IF(ISERROR(O7/$Q7),"-",IF(O7/$Q7&lt;=0,"-",O7/$Q7))</f>
        <v>6.1639510560329786E-3</v>
      </c>
      <c r="DJ7" s="47">
        <f>IF(ISERROR(P7/$Q7),"-",IF(P7/$Q7&lt;=0,"-",P7/$Q7))</f>
        <v>1.4722677518896941E-4</v>
      </c>
      <c r="DK7" s="32"/>
      <c r="DL7" s="47">
        <f t="shared" ref="DL7:DM11" si="13">IF(ISERROR(S7/$Y7),"-",IF(S7/$Y7&lt;=0,"-",S7/$Y7))</f>
        <v>0.96850498792592921</v>
      </c>
      <c r="DM7" s="47">
        <f>IF(ISERROR(T7/$Y7),"-",IF(T7/$Y7&lt;=0,"-",T7/$Y7))</f>
        <v>2.1966118108623183E-2</v>
      </c>
      <c r="DN7" s="47">
        <f t="shared" ref="DN7:DO11" si="14">IF(ISERROR(W7/$Y7),"-",IF(W7/$Y7&lt;=0,"-",W7/$Y7))</f>
        <v>9.5288939654476715E-3</v>
      </c>
      <c r="DO7" s="47" t="str">
        <f t="shared" si="14"/>
        <v>-</v>
      </c>
      <c r="DP7" s="32"/>
      <c r="DQ7" s="47">
        <f t="shared" ref="DQ7:DR11" si="15">IF(ISERROR(AA7/$AG7),"-",IF(AA7/$AG7&lt;=0,"-",AA7/$AG7))</f>
        <v>0.96347234326063091</v>
      </c>
      <c r="DR7" s="47">
        <f t="shared" si="15"/>
        <v>3.0650395138767012E-2</v>
      </c>
      <c r="DS7" s="47">
        <f t="shared" ref="DS7:DT11" si="16">IF(ISERROR(AE7/$AG7),"-",IF(AE7/$AG7&lt;=0,"-",AE7/$AG7))</f>
        <v>5.8772616006020012E-3</v>
      </c>
      <c r="DT7" s="47" t="str">
        <f t="shared" si="16"/>
        <v>-</v>
      </c>
      <c r="DU7" s="32"/>
      <c r="DV7" s="47">
        <f t="shared" ref="DV7:DW11" si="17">IF(ISERROR(AI7/$AO7),"-",IF(AI7/$AO7&lt;=0,"-",AI7/$AO7))</f>
        <v>0.89218866743341252</v>
      </c>
      <c r="DW7" s="47">
        <f t="shared" si="17"/>
        <v>9.6517622960158395E-2</v>
      </c>
      <c r="DX7" s="47">
        <f t="shared" ref="DX7:DY11" si="18">IF(ISERROR(AM7/$AM7),"-",IF(AM7/$AO7&lt;=0,"-",AM7/$AO7))</f>
        <v>1.0879954714826936E-2</v>
      </c>
      <c r="DY7" s="47">
        <f t="shared" si="18"/>
        <v>4.1375489160221492E-4</v>
      </c>
      <c r="DZ7" s="32"/>
      <c r="EA7" s="47">
        <f>IF(ISERROR(AQ7/$AW7),"-",IF(AQ7/$AW7&lt;=0,"-",AQ7/$AW7))</f>
        <v>0.98843105257022956</v>
      </c>
      <c r="EB7" s="47">
        <f>IF(ISERROR(AR7/$AW7),"-",IF(AR7/$AW7&lt;=0,"-",AR7/$AW7))</f>
        <v>1.1138827369157245E-2</v>
      </c>
      <c r="EC7" s="47">
        <f>IF(ISERROR(AU7/$AW7),"-",IF(AU7/$AW7&lt;=0,"-",AU7/$AW7))</f>
        <v>4.2895442359249322E-4</v>
      </c>
      <c r="ED7" s="47">
        <f>IF(ISERROR(AV7/$AW7),"-",IF(AV7/$AW7&lt;=0,"-",AV7/$AW7))</f>
        <v>1.1656370206317751E-6</v>
      </c>
      <c r="EE7" s="32"/>
      <c r="EF7" s="48" t="str">
        <f>IF(ISERROR(V7/T7),"-",V7/T7)</f>
        <v>-</v>
      </c>
      <c r="EG7" s="48" t="str">
        <f>IF(ISERROR(AD7/AB7),"-",AD7/AB7)</f>
        <v>-</v>
      </c>
      <c r="EH7" s="48">
        <f>IF(ISERROR(AL7/AJ7),"-",AL7/AJ7)</f>
        <v>4.7838566582586771E-3</v>
      </c>
      <c r="EI7" s="48">
        <f>IF(ISERROR(AT7/AR7),"-",AT7/AR7)</f>
        <v>3.3486814566764333E-3</v>
      </c>
      <c r="EJ7" s="48">
        <f>IF(ISERROR(N7/L7),"-",N7/L7)</f>
        <v>3.8820670843535015E-3</v>
      </c>
      <c r="EK7" s="32"/>
      <c r="EL7" s="49">
        <f>IF(ISERROR(BM7/K7/1000),"-",IF((BM7/K7/1000)&lt;=0,"-",BM7/K7/1000))</f>
        <v>6.7418746271658057E-4</v>
      </c>
      <c r="EM7" s="49">
        <f>IF(ISERROR(BN7/L7/1000),"-",IF((BN7/L7/1000)&lt;=0,"-",BN7/L7/1000))</f>
        <v>2.3078283698111105E-2</v>
      </c>
      <c r="EN7" s="49">
        <f>IF(ISERROR(BO7/O7/1000),"-",IF((BO7/O7/1000)&lt;=0,"-",BO7/O7/1000))</f>
        <v>0.35641308849924069</v>
      </c>
      <c r="EO7" s="49">
        <f>IF(ISERROR(BP7/P7/1000),"-",IF((BP7/P7/1000)&lt;=0,"-",BP7/P7/1000))</f>
        <v>0.2861271676300578</v>
      </c>
      <c r="EP7" s="49">
        <f>IF(ISERROR(BQ7/Q7/1000),"-",IF((BQ7/Q7/1000)&lt;=0,"-",BQ7/Q7/1000))</f>
        <v>3.9329973499180465E-3</v>
      </c>
      <c r="EQ7" s="28"/>
      <c r="ER7" s="49">
        <f>IF(OR(BS7=0,S7=0),"-",IF(ISERROR(BS7/S7/1000),"-",IF((BS7/S7/1000)&lt;=0,"-",BS7/S7/1000)))</f>
        <v>1.2498758136210824E-4</v>
      </c>
      <c r="ES7" s="50">
        <f>IF(OR(BT7=0,T7=0),"-",IF(ISERROR(BT7/T7/1000),"-",IF((BT7/T7/1000)&lt;=0,"-",BT7/T7/1000)))</f>
        <v>9.6085912109650992E-3</v>
      </c>
      <c r="ET7" s="50">
        <f>IF(OR(BW7=0,W7=0),"-",IF(ISERROR(BW7/W7/1000),"-",IF((BW7/W7/1000)&lt;=0,"-",BW7/W7/1000)))</f>
        <v>0.13745928338762214</v>
      </c>
      <c r="EU7" s="50" t="str">
        <f>IF(OR(BX7=0,X7=0),"-",IF(ISERROR(BX7/X7/1000),"-",IF((BX7/X7/1000)&lt;=0,"-",BX7/X7/1000)))</f>
        <v>-</v>
      </c>
      <c r="EV7" s="50">
        <f>IF(OR(BY7=0,Y7=0),"-",IF(ISERROR(BY7/Y7/1000),"-",IF((BY7/Y7/1000)&lt;=0,"-",BY7/Y7/1000)))</f>
        <v>1.6419494813426118E-3</v>
      </c>
      <c r="EW7" s="32"/>
      <c r="EX7" s="49">
        <f>IF(OR(CA7=0,AA7=0),"-",IF(ISERROR(CA7/AA7/1000),"-",IF((CA7/AA7/1000)&lt;=0,"-",CA7/AA7/1000)))</f>
        <v>1.7225943876763494E-3</v>
      </c>
      <c r="EY7" s="50">
        <f>IF(OR(CB7=0,AB7=0),"-",IF(ISERROR(CB7/AB7/1000),"-",IF((CB7/AB7/1000)&lt;=0,"-",CB7/AB7/1000)))</f>
        <v>0.12324114507520624</v>
      </c>
      <c r="EZ7" s="50">
        <f>IF(OR(CE7=0,AE7=0),"-",IF(ISERROR(CE7/AE7/1000),"-",IF((CE7/AE7/1000)&lt;=0,"-",CE7/AE7/1000)))</f>
        <v>0.40131578947368429</v>
      </c>
      <c r="FA7" s="50" t="str">
        <f>IF(OR(CF7=0,AF7=0),"-",IF(ISERROR(CF7/AF7/1000),"-",IF((CF7/AF7/1000)&lt;=0,"-",CF7/AF7/1000)))</f>
        <v>-</v>
      </c>
      <c r="FB7" s="50">
        <f>IF(OR(CG7=0,AG7=0),"-",IF(ISERROR(CG7/AG7/1000),"-",IF((CG7/AG7/1000)&lt;=0,"-",CG7/AG7/1000)))</f>
        <v>7.7956997242802865E-3</v>
      </c>
      <c r="FC7" s="32"/>
      <c r="FD7" s="49">
        <f>IF(OR(CI7=0,AI7=0),"-",IF(ISERROR(CI7/AI7/1000),"-",IF((CI7/AI7/1000)&lt;=0,"-",CI7/AI7/1000)))</f>
        <v>1.0807453917097152E-3</v>
      </c>
      <c r="FE7" s="50">
        <f>IF(OR(CJ7=0,AJ7=0),"-",IF(ISERROR(CJ7/AJ7/1000),"-",IF((CJ7/AJ7/1000)&lt;=0,"-",CJ7/AJ7/1000)))</f>
        <v>1.3307819431155955E-2</v>
      </c>
      <c r="FF7" s="50">
        <f>IF(OR(CM7=0,AM7=0),"-",IF(ISERROR(CM7/AM7/1000),"-",IF((CM7/AM7/1000)&lt;=0,"-",CM7/AM7/1000)))</f>
        <v>0.42052469135802473</v>
      </c>
      <c r="FG7" s="50">
        <f>IF(OR(CN7=0,AN7=0),"-",IF(ISERROR(CN7/AN7/1000),"-",IF((CN7/AN7/1000)&lt;=0,"-",CN7/AN7/1000)))</f>
        <v>0.28695652173913044</v>
      </c>
      <c r="FH7" s="50">
        <f>IF(OR(CO7=0,AO7=0),"-",IF(ISERROR(CO7/AO7/1000),"-",IF((CO7/AO7/1000)&lt;=0,"-",CO7/AO7/1000)))</f>
        <v>6.9426871521310789E-3</v>
      </c>
      <c r="FI7" s="32"/>
      <c r="FJ7" s="49">
        <f>IF(OR(CQ7=0,AQ7=0),"-",IF(ISERROR(CQ7/AQ7/1000),"-",IF((CQ7/AQ7/1000)&lt;=0,"-",CQ7/AQ7/1000)))</f>
        <v>1.1910728500250597E-4</v>
      </c>
      <c r="FK7" s="49">
        <f>IF(OR(CR7=0,AR7=0),"-",IF(ISERROR(CR7/AR7/1000),"-",IF((CR7/AR7/1000)&lt;=0,"-",CR7/AR7/1000)))</f>
        <v>7.325240686479698E-3</v>
      </c>
      <c r="FL7" s="49">
        <f>IF(OR(CU7=0,AU7=0),"-",IF(ISERROR(CU7/AU7/1000),"-",IF((CU7/AU7/1000)&lt;=0,"-",CU7/AU7/1000)))</f>
        <v>0.36141304347826086</v>
      </c>
      <c r="FM7" s="49" t="str">
        <f>IF(OR(CV7=0,AV7=0),"-",IF(ISERROR(CV7/AV7/1000),"-",IF((CV7/AV7/1000)&lt;=0,"-",CV7/AV7/1000)))</f>
        <v>-</v>
      </c>
      <c r="FN7" s="49">
        <f>IF(OR(CW7=0,AW7=0),"-",IF(ISERROR(CW7/AW7/1000),"-",IF((CW7/AW7/1000)&lt;=0,"-",CW7/AW7/1000)))</f>
        <v>3.5435365427205967E-4</v>
      </c>
      <c r="FP7" s="39" t="s">
        <v>33</v>
      </c>
      <c r="FQ7" s="39" t="s">
        <v>33</v>
      </c>
      <c r="FR7" s="39">
        <v>1371</v>
      </c>
      <c r="FS7" s="39" t="s">
        <v>33</v>
      </c>
      <c r="FT7" s="52">
        <v>2756</v>
      </c>
      <c r="FV7" s="53" t="str">
        <f>IF(ISERROR(FP7/$Y7/1000),"-",IF(FP7/$Y7/1000=0,"-",FP7/$Y7/1000))</f>
        <v>-</v>
      </c>
      <c r="FW7" s="53" t="str">
        <f>IF(ISERROR(FQ7/$AG7/1000),"-",IF(FQ7/$AG7/1000=0,"-",FQ7/$AG7/1000))</f>
        <v>-</v>
      </c>
      <c r="FX7" s="53">
        <f>IF(ISERROR(FR7/$AO7/1000),"-",IF(FR7/$AO7/1000=0,"-",FR7/$AO7/1000))</f>
        <v>1.6442259605409758E-3</v>
      </c>
      <c r="FY7" s="53" t="str">
        <f>IF(ISERROR(FS7/$AW7/1000),"-",IF(FS7/$AW7/1000=0,"-",FS7/$AW7/1000))</f>
        <v>-</v>
      </c>
      <c r="FZ7" s="53">
        <f>IF(ISERROR(FT7/$Q7/1000),"-",IF(FT7/$Q7/1000=0,"-",FT7/$Q7/1000))</f>
        <v>1.1727080705803458E-3</v>
      </c>
      <c r="GB7" s="39" t="s">
        <v>33</v>
      </c>
      <c r="GC7" s="39" t="s">
        <v>33</v>
      </c>
      <c r="GD7" s="39">
        <v>1452</v>
      </c>
      <c r="GE7" s="39" t="s">
        <v>33</v>
      </c>
      <c r="GF7" s="54">
        <v>2797</v>
      </c>
      <c r="GH7" s="53" t="str">
        <f>IF(ISERROR(GB7/$Y7/1000),"-",IF(GB7/$Y7/1000=0,"-",GB7/$Y7/1000))</f>
        <v>-</v>
      </c>
      <c r="GI7" s="53" t="str">
        <f>IF(ISERROR(GC7/$AG7/1000),"-",IF(GC7/$AG7/1000=0,"-",GC7/$AG7/1000))</f>
        <v>-</v>
      </c>
      <c r="GJ7" s="53">
        <f>IF(ISERROR(GD7/$AO7/1000),"-",IF(GD7/$AO7/1000=0,"-",GD7/$AO7/1000))</f>
        <v>1.7413684133519305E-3</v>
      </c>
      <c r="GK7" s="53" t="str">
        <f>IF(ISERROR(GE7/$AW7/1000),"-",IF(GE7/$AW7/1000=0,"-",GE7/$AW7/1000))</f>
        <v>-</v>
      </c>
      <c r="GL7" s="53">
        <f>IF(ISERROR(GF7/$Q7/1000),"-",IF(GF7/$Q7/1000=0,"-",GF7/$Q7/1000))</f>
        <v>1.1901540179293276E-3</v>
      </c>
      <c r="GN7" s="55">
        <f>Y7/SUM(Y7,AG7,AO7)</f>
        <v>0.21590574018774764</v>
      </c>
    </row>
    <row r="8" spans="1:197" x14ac:dyDescent="0.25">
      <c r="A8" s="56" t="s">
        <v>34</v>
      </c>
      <c r="B8" s="56"/>
      <c r="C8" s="10">
        <f>IF(SUM(S8,AA8,AI8,AY8)&lt;=0,"-",SUM(S8,AA8,AI8,AQ8,AY8))</f>
        <v>465.29599999999994</v>
      </c>
      <c r="D8" s="10">
        <f t="shared" si="0"/>
        <v>28.542999999999996</v>
      </c>
      <c r="E8" s="10">
        <f t="shared" si="0"/>
        <v>26.447999999999997</v>
      </c>
      <c r="F8" s="10">
        <f t="shared" si="0"/>
        <v>2.0950000000000002</v>
      </c>
      <c r="G8" s="10">
        <f t="shared" si="0"/>
        <v>6.0179999999999998</v>
      </c>
      <c r="H8" s="10">
        <f t="shared" si="0"/>
        <v>13.714</v>
      </c>
      <c r="I8" s="10">
        <f t="shared" si="0"/>
        <v>513.57099999999991</v>
      </c>
      <c r="J8" s="66"/>
      <c r="K8" s="10">
        <f t="shared" ref="K8:Q11" si="19">IF(SUM(S8,AA8,AI8,AQ8)&lt;=0,"-",SUM(S8,AA8,AI8,AQ8))</f>
        <v>449.97499999999997</v>
      </c>
      <c r="L8" s="10">
        <f t="shared" si="1"/>
        <v>28.542999999999996</v>
      </c>
      <c r="M8" s="10">
        <f t="shared" si="1"/>
        <v>26.447999999999997</v>
      </c>
      <c r="N8" s="10">
        <f t="shared" si="1"/>
        <v>2.0950000000000002</v>
      </c>
      <c r="O8" s="10">
        <f t="shared" si="1"/>
        <v>6.0149999999999997</v>
      </c>
      <c r="P8" s="10">
        <f t="shared" si="1"/>
        <v>13.714</v>
      </c>
      <c r="Q8" s="10">
        <f t="shared" si="1"/>
        <v>498.24699999999996</v>
      </c>
      <c r="R8" s="66"/>
      <c r="S8" s="67">
        <v>257.04300000000001</v>
      </c>
      <c r="T8" s="67">
        <v>16.934999999999999</v>
      </c>
      <c r="U8" s="59">
        <f>T8-V8</f>
        <v>15.314999999999998</v>
      </c>
      <c r="V8" s="46">
        <v>1.62</v>
      </c>
      <c r="W8" s="67">
        <v>1.506</v>
      </c>
      <c r="X8" s="67">
        <v>13.714</v>
      </c>
      <c r="Y8" s="57">
        <f t="shared" si="2"/>
        <v>289.19799999999998</v>
      </c>
      <c r="Z8" s="57"/>
      <c r="AA8" s="67">
        <f>24.921+13.884+9.654</f>
        <v>48.459000000000003</v>
      </c>
      <c r="AB8" s="67">
        <f>2.812+1.942+0.829</f>
        <v>5.5829999999999993</v>
      </c>
      <c r="AC8" s="59">
        <f>AB8-AD8</f>
        <v>5.3759999999999994</v>
      </c>
      <c r="AD8" s="46">
        <f>0.097+0.032+0.078</f>
        <v>0.20700000000000002</v>
      </c>
      <c r="AE8" s="67">
        <f>0.678+0.15+0.15</f>
        <v>0.97800000000000009</v>
      </c>
      <c r="AF8" s="67">
        <v>0</v>
      </c>
      <c r="AG8" s="57">
        <f t="shared" si="3"/>
        <v>55.02</v>
      </c>
      <c r="AH8" s="57"/>
      <c r="AI8" s="68">
        <v>87.322999999999993</v>
      </c>
      <c r="AJ8" s="68">
        <v>5.9930000000000003</v>
      </c>
      <c r="AK8" s="58">
        <f t="shared" si="4"/>
        <v>5.7280000000000006</v>
      </c>
      <c r="AL8" s="68">
        <v>0.26500000000000001</v>
      </c>
      <c r="AM8" s="68">
        <v>3.4470000000000001</v>
      </c>
      <c r="AN8" s="68">
        <v>0</v>
      </c>
      <c r="AO8" s="57">
        <f t="shared" si="5"/>
        <v>96.762999999999991</v>
      </c>
      <c r="AP8" s="57"/>
      <c r="AQ8" s="67">
        <f>0.753+56.397</f>
        <v>57.15</v>
      </c>
      <c r="AR8" s="67">
        <f>0.032</f>
        <v>3.2000000000000001E-2</v>
      </c>
      <c r="AS8" s="57">
        <f>AR8-AT8</f>
        <v>2.9000000000000001E-2</v>
      </c>
      <c r="AT8" s="46">
        <f>0.003</f>
        <v>3.0000000000000001E-3</v>
      </c>
      <c r="AU8" s="67">
        <f>0.077+0.007</f>
        <v>8.4000000000000005E-2</v>
      </c>
      <c r="AV8" s="67">
        <v>0</v>
      </c>
      <c r="AW8" s="57">
        <f t="shared" si="6"/>
        <v>57.265999999999998</v>
      </c>
      <c r="AX8" s="57"/>
      <c r="AY8" s="46">
        <f>9.777+5.544</f>
        <v>15.320999999999998</v>
      </c>
      <c r="AZ8" s="46">
        <v>0</v>
      </c>
      <c r="BA8" s="46" t="s">
        <v>33</v>
      </c>
      <c r="BB8" s="46" t="s">
        <v>33</v>
      </c>
      <c r="BC8" s="46">
        <v>3.0000000000000001E-3</v>
      </c>
      <c r="BD8" s="46" t="s">
        <v>33</v>
      </c>
      <c r="BE8" s="57">
        <f t="shared" si="7"/>
        <v>15.323999999999998</v>
      </c>
      <c r="BF8" s="57"/>
      <c r="BG8" s="10">
        <f t="shared" ref="BG8:BH11" si="20">IF(SUM(BS8,CA8,CI8,CY8,CQ8)&lt;=0,"-",SUM(BS8,CA8,CI8,CY8,CQ8))</f>
        <v>593.66660255276122</v>
      </c>
      <c r="BH8" s="10">
        <f t="shared" si="20"/>
        <v>1047.3353974472388</v>
      </c>
      <c r="BI8" s="10">
        <f t="shared" ref="BI8:BK11" si="21">IF(SUM(BW8,CE8,CM8,DC8,CU8)&lt;=0,"-",SUM(BW8,CE8,CM8,DC8,CU8))</f>
        <v>1452.0029999999999</v>
      </c>
      <c r="BJ8" s="10">
        <f t="shared" si="21"/>
        <v>142</v>
      </c>
      <c r="BK8" s="10">
        <f t="shared" si="21"/>
        <v>3235.0050000000001</v>
      </c>
      <c r="BL8" s="66"/>
      <c r="BM8" s="10">
        <f t="shared" ref="BM8:BN11" si="22">IF(SUM(BS8,CA8,CI8,CQ8)&lt;=0,"-",SUM(BS8,CA8,CI8,CQ8))</f>
        <v>593.66460255276127</v>
      </c>
      <c r="BN8" s="10">
        <f t="shared" si="22"/>
        <v>1047.3353974472388</v>
      </c>
      <c r="BO8" s="10">
        <f t="shared" ref="BO8:BQ11" si="23">IF(SUM(BW8,CE8,CM8,CU8)&lt;=0,"-",SUM(BW8,CE8,CM8,CU8))</f>
        <v>1452</v>
      </c>
      <c r="BP8" s="10">
        <f t="shared" si="23"/>
        <v>142</v>
      </c>
      <c r="BQ8" s="10">
        <f t="shared" si="23"/>
        <v>3235</v>
      </c>
      <c r="BR8" s="66"/>
      <c r="BS8" s="67">
        <v>24</v>
      </c>
      <c r="BT8" s="67">
        <v>281</v>
      </c>
      <c r="BU8" s="59">
        <f>BT8-BV8</f>
        <v>223</v>
      </c>
      <c r="BV8" s="46">
        <v>58</v>
      </c>
      <c r="BW8" s="67">
        <v>122</v>
      </c>
      <c r="BX8" s="67">
        <v>142</v>
      </c>
      <c r="BY8" s="57">
        <f t="shared" si="8"/>
        <v>569</v>
      </c>
      <c r="BZ8" s="57"/>
      <c r="CA8" s="67">
        <f>363+216+36-(201*13.884/(13.884+1.942))</f>
        <v>438.66460255276127</v>
      </c>
      <c r="CB8" s="67">
        <f>411+87+40-(201*1.942/(13.884+1.942))</f>
        <v>513.33539744723873</v>
      </c>
      <c r="CC8" s="69">
        <f>CB8-CD8</f>
        <v>461.33539744723873</v>
      </c>
      <c r="CD8" s="46">
        <f>37+9+6</f>
        <v>52</v>
      </c>
      <c r="CE8" s="67">
        <f>233+84+51</f>
        <v>368</v>
      </c>
      <c r="CF8" s="67">
        <v>0</v>
      </c>
      <c r="CG8" s="57">
        <f t="shared" si="9"/>
        <v>1320</v>
      </c>
      <c r="CH8" s="57"/>
      <c r="CI8" s="67">
        <v>115</v>
      </c>
      <c r="CJ8" s="67">
        <v>252</v>
      </c>
      <c r="CK8" s="59">
        <f t="shared" si="10"/>
        <v>251</v>
      </c>
      <c r="CL8" s="46">
        <v>1</v>
      </c>
      <c r="CM8" s="46">
        <v>946</v>
      </c>
      <c r="CN8" s="67">
        <v>0</v>
      </c>
      <c r="CO8" s="57">
        <f t="shared" si="11"/>
        <v>1313</v>
      </c>
      <c r="CP8" s="57"/>
      <c r="CQ8" s="67">
        <f>6+10</f>
        <v>16</v>
      </c>
      <c r="CR8" s="67">
        <f>1</f>
        <v>1</v>
      </c>
      <c r="CS8" s="59">
        <f>CR8-CT8</f>
        <v>1</v>
      </c>
      <c r="CT8" s="46">
        <v>0</v>
      </c>
      <c r="CU8" s="67">
        <f>10+6</f>
        <v>16</v>
      </c>
      <c r="CV8" s="67">
        <v>0</v>
      </c>
      <c r="CW8" s="57">
        <f t="shared" si="12"/>
        <v>33</v>
      </c>
      <c r="CX8" s="57"/>
      <c r="CY8" s="46">
        <v>2E-3</v>
      </c>
      <c r="CZ8" s="46">
        <v>0</v>
      </c>
      <c r="DA8" s="46" t="s">
        <v>33</v>
      </c>
      <c r="DB8" s="46" t="s">
        <v>33</v>
      </c>
      <c r="DC8" s="46">
        <v>3.0000000000000001E-3</v>
      </c>
      <c r="DD8" s="46">
        <v>0</v>
      </c>
      <c r="DE8" s="57">
        <f t="shared" ref="DE8:DE11" si="24">SUM(CY8:CZ8,DC8:DD8)</f>
        <v>5.0000000000000001E-3</v>
      </c>
      <c r="DF8" s="57"/>
      <c r="DG8" s="60">
        <f t="shared" ref="DG8:DH11" si="25">IF(ISERROR(K8/$Q8),"-",IF(K8/$Q8&lt;=0,"-",K8/$Q8))</f>
        <v>0.90311632583838941</v>
      </c>
      <c r="DH8" s="60">
        <f t="shared" si="25"/>
        <v>5.7286847687994101E-2</v>
      </c>
      <c r="DI8" s="60">
        <f t="shared" ref="DI8:DJ11" si="26">IF(ISERROR(O8/$Q8),"-",IF(O8/$Q8&lt;=0,"-",O8/$Q8))</f>
        <v>1.2072325573460553E-2</v>
      </c>
      <c r="DJ8" s="60">
        <f t="shared" si="26"/>
        <v>2.752450090015595E-2</v>
      </c>
      <c r="DK8" s="57"/>
      <c r="DL8" s="60">
        <f t="shared" si="13"/>
        <v>0.88881320064454117</v>
      </c>
      <c r="DM8" s="60">
        <f t="shared" si="13"/>
        <v>5.8558496255160825E-2</v>
      </c>
      <c r="DN8" s="60">
        <f t="shared" si="14"/>
        <v>5.2075048928415827E-3</v>
      </c>
      <c r="DO8" s="60">
        <f t="shared" si="14"/>
        <v>4.742079820745649E-2</v>
      </c>
      <c r="DP8" s="57"/>
      <c r="DQ8" s="60">
        <f t="shared" si="15"/>
        <v>0.88075245365321697</v>
      </c>
      <c r="DR8" s="60">
        <f t="shared" si="15"/>
        <v>0.10147219193020718</v>
      </c>
      <c r="DS8" s="60">
        <f t="shared" si="16"/>
        <v>1.7775354416575791E-2</v>
      </c>
      <c r="DT8" s="60" t="str">
        <f t="shared" si="16"/>
        <v>-</v>
      </c>
      <c r="DU8" s="57"/>
      <c r="DV8" s="60">
        <f t="shared" si="17"/>
        <v>0.90244204913034942</v>
      </c>
      <c r="DW8" s="60">
        <f t="shared" si="17"/>
        <v>6.1934830462056785E-2</v>
      </c>
      <c r="DX8" s="60">
        <f t="shared" si="18"/>
        <v>3.5623120407593814E-2</v>
      </c>
      <c r="DY8" s="60" t="str">
        <f t="shared" si="18"/>
        <v>-</v>
      </c>
      <c r="DZ8" s="57"/>
      <c r="EA8" s="60">
        <f t="shared" ref="EA8:EB11" si="27">IF(ISERROR(AQ8/$AW8),"-",IF(AQ8/$AW8&lt;=0,"-",AQ8/$AW8))</f>
        <v>0.99797436524290151</v>
      </c>
      <c r="EB8" s="60">
        <f t="shared" si="27"/>
        <v>5.5879579506164223E-4</v>
      </c>
      <c r="EC8" s="60">
        <f t="shared" ref="EC8:ED11" si="28">IF(ISERROR(AU8/$AW8),"-",IF(AU8/$AW8&lt;=0,"-",AU8/$AW8))</f>
        <v>1.4668389620368107E-3</v>
      </c>
      <c r="ED8" s="60" t="str">
        <f t="shared" si="28"/>
        <v>-</v>
      </c>
      <c r="EE8" s="57"/>
      <c r="EF8" s="61">
        <f t="shared" ref="EF8:EF11" si="29">IF(ISERROR(V8/T8),"-",V8/T8)</f>
        <v>9.5659875996457061E-2</v>
      </c>
      <c r="EG8" s="61">
        <f t="shared" ref="EG8:EG11" si="30">IF(ISERROR(AD8/AB8),"-",AD8/AB8)</f>
        <v>3.7076840408382598E-2</v>
      </c>
      <c r="EH8" s="61">
        <f t="shared" ref="EH8:EH11" si="31">IF(ISERROR(AL8/AJ8),"-",AL8/AJ8)</f>
        <v>4.4218254630402139E-2</v>
      </c>
      <c r="EI8" s="61">
        <f t="shared" ref="EI8:EI11" si="32">IF(ISERROR(AT8/AR8),"-",AT8/AR8)</f>
        <v>9.375E-2</v>
      </c>
      <c r="EJ8" s="61">
        <f t="shared" ref="EJ8:EJ10" si="33">IF(ISERROR(N8/L8),"-",N8/L8)</f>
        <v>7.33980310408857E-2</v>
      </c>
      <c r="EK8" s="57"/>
      <c r="EL8" s="62">
        <f t="shared" ref="EL8:EM11" si="34">IF(ISERROR(BM8/K8/1000),"-",IF((BM8/K8/1000)&lt;=0,"-",BM8/K8/1000))</f>
        <v>1.3193279683377105E-3</v>
      </c>
      <c r="EM8" s="62">
        <f t="shared" si="34"/>
        <v>3.6693248693103003E-2</v>
      </c>
      <c r="EN8" s="62">
        <f t="shared" ref="EN8:EP11" si="35">IF(ISERROR(BO8/O8/1000),"-",IF((BO8/O8/1000)&lt;=0,"-",BO8/O8/1000))</f>
        <v>0.24139650872817955</v>
      </c>
      <c r="EO8" s="62">
        <f t="shared" si="35"/>
        <v>1.0354382382966312E-2</v>
      </c>
      <c r="EP8" s="62">
        <f t="shared" si="35"/>
        <v>6.4927636292842709E-3</v>
      </c>
      <c r="EQ8" s="66"/>
      <c r="ER8" s="62">
        <f t="shared" ref="ER8:ES11" si="36">IF(OR(BS8=0,S8=0),"-",IF(ISERROR(BS8/S8/1000),"-",IF((BS8/S8/1000)&lt;=0,"-",BS8/S8/1000)))</f>
        <v>9.3369591858171597E-5</v>
      </c>
      <c r="ES8" s="63">
        <f t="shared" si="36"/>
        <v>1.6592855033953351E-2</v>
      </c>
      <c r="ET8" s="63">
        <f t="shared" ref="ET8:EV11" si="37">IF(OR(BW8=0,W8=0),"-",IF(ISERROR(BW8/W8/1000),"-",IF((BW8/W8/1000)&lt;=0,"-",BW8/W8/1000)))</f>
        <v>8.1009296148738391E-2</v>
      </c>
      <c r="EU8" s="63">
        <f t="shared" si="37"/>
        <v>1.0354382382966312E-2</v>
      </c>
      <c r="EV8" s="63">
        <f t="shared" si="37"/>
        <v>1.9675101487562157E-3</v>
      </c>
      <c r="EW8" s="57"/>
      <c r="EX8" s="62">
        <f t="shared" ref="EX8:EY11" si="38">IF(OR(CA8=0,AA8=0),"-",IF(ISERROR(CA8/AA8/1000),"-",IF((CA8/AA8/1000)&lt;=0,"-",CA8/AA8/1000)))</f>
        <v>9.0522834262523211E-3</v>
      </c>
      <c r="EY8" s="63">
        <f t="shared" si="38"/>
        <v>9.1946157522342614E-2</v>
      </c>
      <c r="EZ8" s="63">
        <f t="shared" ref="EZ8:FB11" si="39">IF(OR(CE8=0,AE8=0),"-",IF(ISERROR(CE8/AE8/1000),"-",IF((CE8/AE8/1000)&lt;=0,"-",CE8/AE8/1000)))</f>
        <v>0.37627811860940691</v>
      </c>
      <c r="FA8" s="63" t="str">
        <f t="shared" si="39"/>
        <v>-</v>
      </c>
      <c r="FB8" s="63">
        <f t="shared" si="39"/>
        <v>2.3991275899672846E-2</v>
      </c>
      <c r="FC8" s="57"/>
      <c r="FD8" s="62">
        <f t="shared" ref="FD8:FE11" si="40">IF(OR(CI8=0,AI8=0),"-",IF(ISERROR(CI8/AI8/1000),"-",IF((CI8/AI8/1000)&lt;=0,"-",CI8/AI8/1000)))</f>
        <v>1.3169497154243441E-3</v>
      </c>
      <c r="FE8" s="63">
        <f t="shared" si="40"/>
        <v>4.2049057233439005E-2</v>
      </c>
      <c r="FF8" s="63">
        <f t="shared" ref="FF8:FH11" si="41">IF(OR(CM8=0,AM8=0),"-",IF(ISERROR(CM8/AM8/1000),"-",IF((CM8/AM8/1000)&lt;=0,"-",CM8/AM8/1000)))</f>
        <v>0.27444154337104726</v>
      </c>
      <c r="FG8" s="63" t="str">
        <f t="shared" si="41"/>
        <v>-</v>
      </c>
      <c r="FH8" s="63">
        <f t="shared" si="41"/>
        <v>1.3569236174984241E-2</v>
      </c>
      <c r="FI8" s="57"/>
      <c r="FJ8" s="62">
        <f t="shared" ref="FJ8:FK11" si="42">IF(OR(CQ8=0,AQ8=0),"-",IF(ISERROR(CQ8/AQ8/1000),"-",IF((CQ8/AQ8/1000)&lt;=0,"-",CQ8/AQ8/1000)))</f>
        <v>2.7996500437445319E-4</v>
      </c>
      <c r="FK8" s="62">
        <f t="shared" si="42"/>
        <v>3.125E-2</v>
      </c>
      <c r="FL8" s="62">
        <f t="shared" ref="FL8:FN11" si="43">IF(OR(CU8=0,AU8=0),"-",IF(ISERROR(CU8/AU8/1000),"-",IF((CU8/AU8/1000)&lt;=0,"-",CU8/AU8/1000)))</f>
        <v>0.19047619047619047</v>
      </c>
      <c r="FM8" s="62" t="str">
        <f t="shared" si="43"/>
        <v>-</v>
      </c>
      <c r="FN8" s="62">
        <f t="shared" si="43"/>
        <v>5.7625816365731856E-4</v>
      </c>
      <c r="FP8" s="70">
        <v>-167</v>
      </c>
      <c r="FQ8" s="70">
        <f>948+203</f>
        <v>1151</v>
      </c>
      <c r="FR8" s="70">
        <v>306</v>
      </c>
      <c r="FS8" s="70">
        <f>-53+54</f>
        <v>1</v>
      </c>
      <c r="FT8" s="13">
        <f t="shared" ref="FT8:FT10" si="44">SUM(FP8:FS8)</f>
        <v>1291</v>
      </c>
      <c r="FV8" s="64">
        <f t="shared" ref="FV8:FV11" si="45">IF(ISERROR(FP8/$Y8/1000),"-",IF(FP8/$Y8/1000=0,"-",FP8/$Y8/1000))</f>
        <v>-5.7745904190208781E-4</v>
      </c>
      <c r="FW8" s="64">
        <f t="shared" ref="FW8:FW11" si="46">IF(ISERROR(FQ8/$AG8/1000),"-",IF(FQ8/$AG8/1000=0,"-",FQ8/$AG8/1000))</f>
        <v>2.0919665576154125E-2</v>
      </c>
      <c r="FX8" s="64">
        <f t="shared" ref="FX8:FX11" si="47">IF(ISERROR(FR8/$AO8/1000),"-",IF(FR8/$AO8/1000=0,"-",FR8/$AO8/1000))</f>
        <v>3.1623657803085893E-3</v>
      </c>
      <c r="FY8" s="64">
        <f t="shared" ref="FY8:FY11" si="48">IF(ISERROR(FS8/$AW8/1000),"-",IF(FS8/$AW8/1000=0,"-",FS8/$AW8/1000))</f>
        <v>1.746236859567632E-5</v>
      </c>
      <c r="FZ8" s="64">
        <f t="shared" ref="FZ8:FZ11" si="49">IF(ISERROR(FT8/$Q8/1000),"-",IF(FT8/$Q8/1000=0,"-",FT8/$Q8/1000))</f>
        <v>2.5910843417020074E-3</v>
      </c>
      <c r="GB8" s="71">
        <v>89</v>
      </c>
      <c r="GC8" s="46" t="s">
        <v>33</v>
      </c>
      <c r="GD8" s="46" t="s">
        <v>33</v>
      </c>
      <c r="GE8" s="46" t="s">
        <v>33</v>
      </c>
      <c r="GF8" s="72">
        <v>1882</v>
      </c>
      <c r="GH8" s="64">
        <f t="shared" ref="GH8:GH11" si="50">IF(ISERROR(GB8/$Y8/1000),"-",IF(GB8/$Y8/1000=0,"-",GB8/$Y8/1000))</f>
        <v>3.0774763310949591E-4</v>
      </c>
      <c r="GI8" s="64" t="str">
        <f t="shared" ref="GI8:GI11" si="51">IF(ISERROR(GC8/$AG8/1000),"-",IF(GC8/$AG8/1000=0,"-",GC8/$AG8/1000))</f>
        <v>-</v>
      </c>
      <c r="GJ8" s="64" t="str">
        <f t="shared" ref="GJ8:GJ11" si="52">IF(ISERROR(GD8/$AO8/1000),"-",IF(GD8/$AO8/1000=0,"-",GD8/$AO8/1000))</f>
        <v>-</v>
      </c>
      <c r="GK8" s="64" t="str">
        <f t="shared" ref="GK8:GK11" si="53">IF(ISERROR(GE8/$AW8/1000),"-",IF(GE8/$AW8/1000=0,"-",GE8/$AW8/1000))</f>
        <v>-</v>
      </c>
      <c r="GL8" s="64">
        <f t="shared" ref="GL8:GL11" si="54">IF(ISERROR(GF8/$Q8/1000),"-",IF(GF8/$Q8/1000=0,"-",GF8/$Q8/1000))</f>
        <v>3.7772430140071093E-3</v>
      </c>
      <c r="GN8" s="65">
        <f t="shared" ref="GN8:GN10" si="55">Y8/SUM(Y8,AG8,AO8)</f>
        <v>0.65580603245944846</v>
      </c>
    </row>
    <row r="9" spans="1:197" x14ac:dyDescent="0.25">
      <c r="A9" s="56" t="s">
        <v>35</v>
      </c>
      <c r="B9" s="56"/>
      <c r="C9" s="10">
        <f t="shared" si="0"/>
        <v>447.76599999999996</v>
      </c>
      <c r="D9" s="10">
        <f t="shared" si="0"/>
        <v>39.033999999999999</v>
      </c>
      <c r="E9" s="10">
        <f t="shared" si="0"/>
        <v>36.320999999999998</v>
      </c>
      <c r="F9" s="10">
        <f t="shared" si="0"/>
        <v>1.9130000000000003</v>
      </c>
      <c r="G9" s="10">
        <f t="shared" si="0"/>
        <v>7.9329999999999998</v>
      </c>
      <c r="H9" s="10" t="str">
        <f t="shared" si="0"/>
        <v>-</v>
      </c>
      <c r="I9" s="10">
        <f t="shared" si="0"/>
        <v>494.733</v>
      </c>
      <c r="J9" s="66"/>
      <c r="K9" s="10">
        <f t="shared" si="19"/>
        <v>299.26599999999996</v>
      </c>
      <c r="L9" s="10">
        <f t="shared" si="1"/>
        <v>38.234000000000002</v>
      </c>
      <c r="M9" s="10">
        <f t="shared" si="1"/>
        <v>36.320999999999998</v>
      </c>
      <c r="N9" s="10">
        <f t="shared" si="1"/>
        <v>1.9130000000000003</v>
      </c>
      <c r="O9" s="10">
        <f t="shared" si="1"/>
        <v>7.923</v>
      </c>
      <c r="P9" s="10" t="str">
        <f t="shared" si="1"/>
        <v>-</v>
      </c>
      <c r="Q9" s="10">
        <f t="shared" si="1"/>
        <v>345.423</v>
      </c>
      <c r="R9" s="66"/>
      <c r="S9" s="67">
        <v>135.71299999999999</v>
      </c>
      <c r="T9" s="67">
        <v>17.042999999999999</v>
      </c>
      <c r="U9" s="59">
        <f>T9-V9</f>
        <v>16.317999999999998</v>
      </c>
      <c r="V9" s="67">
        <v>0.72499999999999998</v>
      </c>
      <c r="W9" s="67">
        <v>2.1549999999999998</v>
      </c>
      <c r="X9" s="67">
        <v>0</v>
      </c>
      <c r="Y9" s="57">
        <f t="shared" si="2"/>
        <v>154.911</v>
      </c>
      <c r="Z9" s="57"/>
      <c r="AA9" s="67">
        <v>46.012</v>
      </c>
      <c r="AB9" s="67">
        <v>10.759</v>
      </c>
      <c r="AC9" s="59">
        <f>AB9-AD9</f>
        <v>10.255000000000001</v>
      </c>
      <c r="AD9" s="46">
        <v>0.504</v>
      </c>
      <c r="AE9" s="67">
        <v>3.4089999999999998</v>
      </c>
      <c r="AF9" s="67">
        <v>0</v>
      </c>
      <c r="AG9" s="57">
        <f t="shared" si="3"/>
        <v>60.18</v>
      </c>
      <c r="AH9" s="57"/>
      <c r="AI9" s="68">
        <v>117.541</v>
      </c>
      <c r="AJ9" s="68">
        <v>10.432</v>
      </c>
      <c r="AK9" s="58">
        <f t="shared" si="4"/>
        <v>9.7480000000000011</v>
      </c>
      <c r="AL9" s="68">
        <v>0.68400000000000005</v>
      </c>
      <c r="AM9" s="68">
        <v>2.359</v>
      </c>
      <c r="AN9" s="68">
        <v>0</v>
      </c>
      <c r="AO9" s="57">
        <f t="shared" si="5"/>
        <v>130.33199999999999</v>
      </c>
      <c r="AP9" s="57"/>
      <c r="AQ9" s="67" t="s">
        <v>33</v>
      </c>
      <c r="AR9" s="67" t="s">
        <v>33</v>
      </c>
      <c r="AS9" s="57" t="s">
        <v>33</v>
      </c>
      <c r="AT9" s="46" t="s">
        <v>33</v>
      </c>
      <c r="AU9" s="67" t="s">
        <v>33</v>
      </c>
      <c r="AV9" s="67" t="s">
        <v>33</v>
      </c>
      <c r="AW9" s="57">
        <f t="shared" si="6"/>
        <v>0</v>
      </c>
      <c r="AX9" s="57"/>
      <c r="AY9" s="46">
        <v>148.5</v>
      </c>
      <c r="AZ9" s="46">
        <v>0.8</v>
      </c>
      <c r="BA9" s="46">
        <v>0</v>
      </c>
      <c r="BB9" s="46">
        <v>0</v>
      </c>
      <c r="BC9" s="46">
        <v>0.01</v>
      </c>
      <c r="BD9" s="46">
        <v>0</v>
      </c>
      <c r="BE9" s="57">
        <f t="shared" ref="BE9" si="56">SUM(AY9:AZ9,BC9:BD9)</f>
        <v>149.31</v>
      </c>
      <c r="BF9" s="57"/>
      <c r="BG9" s="10">
        <f t="shared" si="20"/>
        <v>816</v>
      </c>
      <c r="BH9" s="10">
        <f t="shared" si="20"/>
        <v>2545</v>
      </c>
      <c r="BI9" s="10">
        <f t="shared" si="21"/>
        <v>3293</v>
      </c>
      <c r="BJ9" s="10" t="str">
        <f t="shared" si="21"/>
        <v>-</v>
      </c>
      <c r="BK9" s="10">
        <f t="shared" si="21"/>
        <v>6654</v>
      </c>
      <c r="BL9" s="66"/>
      <c r="BM9" s="10">
        <f t="shared" si="22"/>
        <v>804</v>
      </c>
      <c r="BN9" s="10">
        <f t="shared" si="22"/>
        <v>2543</v>
      </c>
      <c r="BO9" s="10">
        <f t="shared" si="23"/>
        <v>3283</v>
      </c>
      <c r="BP9" s="10" t="str">
        <f t="shared" si="23"/>
        <v>-</v>
      </c>
      <c r="BQ9" s="10">
        <f t="shared" si="23"/>
        <v>6630</v>
      </c>
      <c r="BR9" s="66"/>
      <c r="BS9" s="67">
        <v>22</v>
      </c>
      <c r="BT9" s="67">
        <v>64</v>
      </c>
      <c r="BU9" s="59">
        <f>BT9-BV9</f>
        <v>51</v>
      </c>
      <c r="BV9" s="46">
        <v>13</v>
      </c>
      <c r="BW9" s="67">
        <v>346</v>
      </c>
      <c r="BX9" s="67">
        <v>0</v>
      </c>
      <c r="BY9" s="57">
        <f t="shared" si="8"/>
        <v>432</v>
      </c>
      <c r="BZ9" s="57"/>
      <c r="CA9" s="67">
        <f>542+35</f>
        <v>577</v>
      </c>
      <c r="CB9" s="67">
        <f>2007+71</f>
        <v>2078</v>
      </c>
      <c r="CC9" s="69">
        <f>CB9-CD9</f>
        <v>1818.1205779770803</v>
      </c>
      <c r="CD9" s="46">
        <f>CB9*(251/(2007))</f>
        <v>259.87942202291981</v>
      </c>
      <c r="CE9" s="67">
        <f>2335+14</f>
        <v>2349</v>
      </c>
      <c r="CF9" s="67">
        <v>0</v>
      </c>
      <c r="CG9" s="57">
        <f t="shared" si="9"/>
        <v>5004</v>
      </c>
      <c r="CH9" s="57"/>
      <c r="CI9" s="67">
        <f>143+62</f>
        <v>205</v>
      </c>
      <c r="CJ9" s="67">
        <f>302+99</f>
        <v>401</v>
      </c>
      <c r="CK9" s="59">
        <f t="shared" si="10"/>
        <v>389.0496688741722</v>
      </c>
      <c r="CL9" s="46">
        <f>CJ9*9/302</f>
        <v>11.950331125827814</v>
      </c>
      <c r="CM9" s="46">
        <f>547+41</f>
        <v>588</v>
      </c>
      <c r="CN9" s="67">
        <v>0</v>
      </c>
      <c r="CO9" s="57">
        <f t="shared" si="11"/>
        <v>1194</v>
      </c>
      <c r="CP9" s="57"/>
      <c r="CQ9" s="67" t="s">
        <v>33</v>
      </c>
      <c r="CR9" s="67" t="s">
        <v>33</v>
      </c>
      <c r="CS9" s="59" t="s">
        <v>33</v>
      </c>
      <c r="CT9" s="46" t="s">
        <v>33</v>
      </c>
      <c r="CU9" s="67" t="s">
        <v>33</v>
      </c>
      <c r="CV9" s="67" t="s">
        <v>33</v>
      </c>
      <c r="CW9" s="57">
        <f t="shared" si="12"/>
        <v>0</v>
      </c>
      <c r="CX9" s="57"/>
      <c r="CY9" s="46">
        <v>12</v>
      </c>
      <c r="CZ9" s="46">
        <v>2</v>
      </c>
      <c r="DA9" s="46" t="s">
        <v>33</v>
      </c>
      <c r="DB9" s="46" t="s">
        <v>33</v>
      </c>
      <c r="DC9" s="46">
        <v>10</v>
      </c>
      <c r="DD9" s="46" t="s">
        <v>33</v>
      </c>
      <c r="DE9" s="57">
        <f t="shared" si="24"/>
        <v>24</v>
      </c>
      <c r="DF9" s="57"/>
      <c r="DG9" s="60">
        <f t="shared" si="25"/>
        <v>0.86637542954580316</v>
      </c>
      <c r="DH9" s="60">
        <f t="shared" si="25"/>
        <v>0.11068747593530252</v>
      </c>
      <c r="DI9" s="60">
        <f t="shared" si="26"/>
        <v>2.2937094518894224E-2</v>
      </c>
      <c r="DJ9" s="60" t="str">
        <f t="shared" si="26"/>
        <v>-</v>
      </c>
      <c r="DK9" s="57"/>
      <c r="DL9" s="60">
        <f t="shared" si="13"/>
        <v>0.87607077612306417</v>
      </c>
      <c r="DM9" s="60">
        <f t="shared" si="13"/>
        <v>0.11001801034142185</v>
      </c>
      <c r="DN9" s="60">
        <f t="shared" si="14"/>
        <v>1.3911213535513939E-2</v>
      </c>
      <c r="DO9" s="60" t="str">
        <f t="shared" si="14"/>
        <v>-</v>
      </c>
      <c r="DP9" s="57"/>
      <c r="DQ9" s="60">
        <f t="shared" si="15"/>
        <v>0.76457294782319707</v>
      </c>
      <c r="DR9" s="60">
        <f t="shared" si="15"/>
        <v>0.17878032568959787</v>
      </c>
      <c r="DS9" s="60">
        <f t="shared" si="16"/>
        <v>5.6646726487205049E-2</v>
      </c>
      <c r="DT9" s="60" t="str">
        <f t="shared" si="16"/>
        <v>-</v>
      </c>
      <c r="DU9" s="57"/>
      <c r="DV9" s="60">
        <f t="shared" si="17"/>
        <v>0.90185833103151958</v>
      </c>
      <c r="DW9" s="60">
        <f t="shared" si="17"/>
        <v>8.004173955743793E-2</v>
      </c>
      <c r="DX9" s="60">
        <f t="shared" si="18"/>
        <v>1.8099929411042569E-2</v>
      </c>
      <c r="DY9" s="60" t="str">
        <f t="shared" si="18"/>
        <v>-</v>
      </c>
      <c r="DZ9" s="57"/>
      <c r="EA9" s="60" t="str">
        <f t="shared" si="27"/>
        <v>-</v>
      </c>
      <c r="EB9" s="60" t="str">
        <f t="shared" si="27"/>
        <v>-</v>
      </c>
      <c r="EC9" s="60" t="str">
        <f t="shared" si="28"/>
        <v>-</v>
      </c>
      <c r="ED9" s="60" t="str">
        <f t="shared" si="28"/>
        <v>-</v>
      </c>
      <c r="EE9" s="57"/>
      <c r="EF9" s="61">
        <f t="shared" si="29"/>
        <v>4.2539459015431554E-2</v>
      </c>
      <c r="EG9" s="61">
        <f t="shared" si="30"/>
        <v>4.6844502277163302E-2</v>
      </c>
      <c r="EH9" s="61">
        <f t="shared" si="31"/>
        <v>6.5567484662576683E-2</v>
      </c>
      <c r="EI9" s="61" t="str">
        <f t="shared" si="32"/>
        <v>-</v>
      </c>
      <c r="EJ9" s="61">
        <f t="shared" si="33"/>
        <v>5.0034001150808187E-2</v>
      </c>
      <c r="EK9" s="57"/>
      <c r="EL9" s="62">
        <f t="shared" si="34"/>
        <v>2.6865731489711499E-3</v>
      </c>
      <c r="EM9" s="62">
        <f t="shared" si="34"/>
        <v>6.6511481927080604E-2</v>
      </c>
      <c r="EN9" s="62">
        <f t="shared" si="35"/>
        <v>0.41436324624510917</v>
      </c>
      <c r="EO9" s="62" t="str">
        <f t="shared" si="35"/>
        <v>-</v>
      </c>
      <c r="EP9" s="62">
        <f t="shared" si="35"/>
        <v>1.9193857965451054E-2</v>
      </c>
      <c r="EQ9" s="66"/>
      <c r="ER9" s="62">
        <f t="shared" si="36"/>
        <v>1.6210679890651597E-4</v>
      </c>
      <c r="ES9" s="63">
        <f t="shared" si="36"/>
        <v>3.7552074165346475E-3</v>
      </c>
      <c r="ET9" s="63">
        <f t="shared" si="37"/>
        <v>0.16055684454756383</v>
      </c>
      <c r="EU9" s="63" t="str">
        <f t="shared" si="37"/>
        <v>-</v>
      </c>
      <c r="EV9" s="63">
        <f t="shared" si="37"/>
        <v>2.7886980266088267E-3</v>
      </c>
      <c r="EW9" s="57"/>
      <c r="EX9" s="62">
        <f t="shared" si="38"/>
        <v>1.2540206902547162E-2</v>
      </c>
      <c r="EY9" s="63">
        <f t="shared" si="38"/>
        <v>0.19314062645227251</v>
      </c>
      <c r="EZ9" s="63">
        <f t="shared" si="39"/>
        <v>0.68905837488999711</v>
      </c>
      <c r="FA9" s="63" t="str">
        <f t="shared" si="39"/>
        <v>-</v>
      </c>
      <c r="FB9" s="63">
        <f t="shared" si="39"/>
        <v>8.3150548354935197E-2</v>
      </c>
      <c r="FC9" s="57"/>
      <c r="FD9" s="62">
        <f t="shared" si="40"/>
        <v>1.7440722811614671E-3</v>
      </c>
      <c r="FE9" s="63">
        <f t="shared" si="40"/>
        <v>3.8439417177914111E-2</v>
      </c>
      <c r="FF9" s="63">
        <f t="shared" si="41"/>
        <v>0.24925816023738873</v>
      </c>
      <c r="FG9" s="63" t="str">
        <f t="shared" si="41"/>
        <v>-</v>
      </c>
      <c r="FH9" s="63">
        <f t="shared" si="41"/>
        <v>9.1612190406039958E-3</v>
      </c>
      <c r="FI9" s="57"/>
      <c r="FJ9" s="62" t="str">
        <f t="shared" si="42"/>
        <v>-</v>
      </c>
      <c r="FK9" s="62" t="str">
        <f t="shared" si="42"/>
        <v>-</v>
      </c>
      <c r="FL9" s="62" t="str">
        <f t="shared" si="43"/>
        <v>-</v>
      </c>
      <c r="FM9" s="62" t="str">
        <f t="shared" si="43"/>
        <v>-</v>
      </c>
      <c r="FN9" s="62" t="str">
        <f t="shared" si="43"/>
        <v>-</v>
      </c>
      <c r="FP9" s="70">
        <v>-1</v>
      </c>
      <c r="FQ9" s="70">
        <f>1863-124-6</f>
        <v>1733</v>
      </c>
      <c r="FR9" s="70">
        <f>191+202-145</f>
        <v>248</v>
      </c>
      <c r="FS9" s="70">
        <f>-96+8+20</f>
        <v>-68</v>
      </c>
      <c r="FT9" s="13">
        <f t="shared" si="44"/>
        <v>1912</v>
      </c>
      <c r="FV9" s="64">
        <f t="shared" si="45"/>
        <v>-6.4553195060389517E-6</v>
      </c>
      <c r="FW9" s="64">
        <f t="shared" si="46"/>
        <v>2.8796942505815885E-2</v>
      </c>
      <c r="FX9" s="64">
        <f t="shared" si="47"/>
        <v>1.9028327655525889E-3</v>
      </c>
      <c r="FY9" s="64" t="str">
        <f t="shared" si="48"/>
        <v>-</v>
      </c>
      <c r="FZ9" s="64">
        <f t="shared" si="49"/>
        <v>5.5352422971255534E-3</v>
      </c>
      <c r="GB9" s="71">
        <v>26</v>
      </c>
      <c r="GC9" s="46">
        <v>1695</v>
      </c>
      <c r="GD9" s="46">
        <v>162</v>
      </c>
      <c r="GE9" s="46">
        <v>0</v>
      </c>
      <c r="GF9" s="72">
        <f t="shared" ref="GF9" si="57">IF(SUM(GB9:GE9)=0,"-",SUM(GB9:GE9))</f>
        <v>1883</v>
      </c>
      <c r="GH9" s="64">
        <f t="shared" si="50"/>
        <v>1.6783830715701273E-4</v>
      </c>
      <c r="GI9" s="64">
        <f t="shared" si="51"/>
        <v>2.8165503489531406E-2</v>
      </c>
      <c r="GJ9" s="64">
        <f t="shared" si="52"/>
        <v>1.2429794678206426E-3</v>
      </c>
      <c r="GK9" s="64" t="str">
        <f t="shared" si="53"/>
        <v>-</v>
      </c>
      <c r="GL9" s="64">
        <f t="shared" si="54"/>
        <v>5.4512872622842134E-3</v>
      </c>
      <c r="GN9" s="65">
        <f t="shared" ref="GN9" si="58">Y9/SUM(Y9,AG9,AO9)</f>
        <v>0.44846753111402543</v>
      </c>
    </row>
    <row r="10" spans="1:197" s="89" customFormat="1" x14ac:dyDescent="0.25">
      <c r="A10" s="56" t="s">
        <v>36</v>
      </c>
      <c r="B10" s="73"/>
      <c r="C10" s="74">
        <f t="shared" si="0"/>
        <v>441.00200000000001</v>
      </c>
      <c r="D10" s="74">
        <f t="shared" si="0"/>
        <v>27.867999999999999</v>
      </c>
      <c r="E10" s="74">
        <f t="shared" si="0"/>
        <v>26.817</v>
      </c>
      <c r="F10" s="74">
        <f t="shared" si="0"/>
        <v>1.0509999999999999</v>
      </c>
      <c r="G10" s="74">
        <f t="shared" si="0"/>
        <v>6.5979999999999999</v>
      </c>
      <c r="H10" s="74" t="str">
        <f t="shared" si="0"/>
        <v>-</v>
      </c>
      <c r="I10" s="74">
        <f t="shared" si="0"/>
        <v>475.46800000000002</v>
      </c>
      <c r="J10" s="74"/>
      <c r="K10" s="74">
        <f t="shared" si="19"/>
        <v>305.50200000000001</v>
      </c>
      <c r="L10" s="74">
        <f t="shared" si="1"/>
        <v>27.867999999999999</v>
      </c>
      <c r="M10" s="74">
        <f t="shared" si="1"/>
        <v>26.817</v>
      </c>
      <c r="N10" s="74">
        <f t="shared" si="1"/>
        <v>1.0509999999999999</v>
      </c>
      <c r="O10" s="74">
        <f t="shared" si="1"/>
        <v>6.5979999999999999</v>
      </c>
      <c r="P10" s="74" t="str">
        <f t="shared" si="1"/>
        <v>-</v>
      </c>
      <c r="Q10" s="74">
        <f>IF(SUM(Y10,AG10,AO10,AW10)&lt;=0,"-",SUM(Y10,AG10,AO10,AW10))</f>
        <v>339.96800000000002</v>
      </c>
      <c r="R10" s="74"/>
      <c r="S10" s="75">
        <v>159.261</v>
      </c>
      <c r="T10" s="75">
        <v>11.465</v>
      </c>
      <c r="U10" s="76">
        <f>T10-V10</f>
        <v>10.847999999999999</v>
      </c>
      <c r="V10" s="77">
        <v>0.61699999999999999</v>
      </c>
      <c r="W10" s="75">
        <v>3.2770000000000001</v>
      </c>
      <c r="X10" s="75">
        <v>0</v>
      </c>
      <c r="Y10" s="78">
        <f>SUM(S10:T10,W10:X10)</f>
        <v>174.00299999999999</v>
      </c>
      <c r="Z10" s="78"/>
      <c r="AA10" s="79">
        <f>3.103+7.436</f>
        <v>10.539</v>
      </c>
      <c r="AB10" s="79">
        <f>1.259+2.31</f>
        <v>3.569</v>
      </c>
      <c r="AC10" s="80">
        <f>AB10-AD10</f>
        <v>3.431</v>
      </c>
      <c r="AD10" s="81">
        <f>0.026+0.112</f>
        <v>0.13800000000000001</v>
      </c>
      <c r="AE10" s="79">
        <f>0.116+0.643</f>
        <v>0.75900000000000001</v>
      </c>
      <c r="AF10" s="79">
        <v>0</v>
      </c>
      <c r="AG10" s="78">
        <f>SUM(AA10:AB10,AE10:AF10)</f>
        <v>14.867000000000001</v>
      </c>
      <c r="AH10" s="78"/>
      <c r="AI10" s="82">
        <f>32.896+59.689</f>
        <v>92.585000000000008</v>
      </c>
      <c r="AJ10" s="82">
        <f>2.58+9.704</f>
        <v>12.284000000000001</v>
      </c>
      <c r="AK10" s="83">
        <f>AJ10-AL10</f>
        <v>11.995000000000001</v>
      </c>
      <c r="AL10" s="84">
        <f>0.065+0.224</f>
        <v>0.28900000000000003</v>
      </c>
      <c r="AM10" s="82">
        <f>0.895+1.649</f>
        <v>2.544</v>
      </c>
      <c r="AN10" s="82">
        <v>0</v>
      </c>
      <c r="AO10" s="78">
        <f>SUM(AI10:AJ10,AM10:AN10)</f>
        <v>107.41300000000001</v>
      </c>
      <c r="AP10" s="78"/>
      <c r="AQ10" s="79">
        <f>35.707+7.41</f>
        <v>43.117000000000004</v>
      </c>
      <c r="AR10" s="79">
        <f>0.546+0.004</f>
        <v>0.55000000000000004</v>
      </c>
      <c r="AS10" s="80">
        <f>AR10-AT10</f>
        <v>0.54300000000000004</v>
      </c>
      <c r="AT10" s="81">
        <v>7.0000000000000001E-3</v>
      </c>
      <c r="AU10" s="79">
        <f>0.013+0.005</f>
        <v>1.7999999999999999E-2</v>
      </c>
      <c r="AV10" s="79">
        <v>0</v>
      </c>
      <c r="AW10" s="78">
        <f>SUM(AQ10:AR10,AU10:AV10)</f>
        <v>43.685000000000002</v>
      </c>
      <c r="AX10" s="78"/>
      <c r="AY10" s="81">
        <v>135.5</v>
      </c>
      <c r="AZ10" s="81" t="s">
        <v>33</v>
      </c>
      <c r="BA10" s="81" t="s">
        <v>33</v>
      </c>
      <c r="BB10" s="81" t="s">
        <v>33</v>
      </c>
      <c r="BC10" s="81" t="s">
        <v>33</v>
      </c>
      <c r="BD10" s="81" t="s">
        <v>33</v>
      </c>
      <c r="BE10" s="78">
        <f t="shared" si="7"/>
        <v>135.5</v>
      </c>
      <c r="BF10" s="78"/>
      <c r="BG10" s="74">
        <f t="shared" si="20"/>
        <v>322</v>
      </c>
      <c r="BH10" s="74">
        <f t="shared" si="20"/>
        <v>752</v>
      </c>
      <c r="BI10" s="74">
        <f t="shared" si="21"/>
        <v>2718</v>
      </c>
      <c r="BJ10" s="74" t="str">
        <f t="shared" si="21"/>
        <v>-</v>
      </c>
      <c r="BK10" s="74">
        <f t="shared" si="21"/>
        <v>3792</v>
      </c>
      <c r="BL10" s="74"/>
      <c r="BM10" s="74">
        <f t="shared" si="22"/>
        <v>322</v>
      </c>
      <c r="BN10" s="74">
        <f t="shared" si="22"/>
        <v>752</v>
      </c>
      <c r="BO10" s="74">
        <f t="shared" si="23"/>
        <v>2718</v>
      </c>
      <c r="BP10" s="74" t="str">
        <f t="shared" si="23"/>
        <v>-</v>
      </c>
      <c r="BQ10" s="74">
        <f t="shared" si="23"/>
        <v>3792</v>
      </c>
      <c r="BR10" s="74"/>
      <c r="BS10" s="79">
        <v>25</v>
      </c>
      <c r="BT10" s="79">
        <v>118</v>
      </c>
      <c r="BU10" s="81" t="s">
        <v>33</v>
      </c>
      <c r="BV10" s="81" t="s">
        <v>33</v>
      </c>
      <c r="BW10" s="79">
        <v>821</v>
      </c>
      <c r="BX10" s="79">
        <v>0</v>
      </c>
      <c r="BY10" s="78">
        <f>SUM(BS10:BT10,BW10:BX10)</f>
        <v>964</v>
      </c>
      <c r="BZ10" s="78"/>
      <c r="CA10" s="79">
        <f>40+65</f>
        <v>105</v>
      </c>
      <c r="CB10" s="79">
        <f>132+253</f>
        <v>385</v>
      </c>
      <c r="CC10" s="81" t="s">
        <v>33</v>
      </c>
      <c r="CD10" s="81" t="s">
        <v>33</v>
      </c>
      <c r="CE10" s="79">
        <f>89+539</f>
        <v>628</v>
      </c>
      <c r="CF10" s="79">
        <v>0</v>
      </c>
      <c r="CG10" s="78">
        <f>SUM(CA10:CB10,CE10:CF10)</f>
        <v>1118</v>
      </c>
      <c r="CH10" s="78"/>
      <c r="CI10" s="79">
        <f>45+124</f>
        <v>169</v>
      </c>
      <c r="CJ10" s="79">
        <f>47+198</f>
        <v>245</v>
      </c>
      <c r="CK10" s="81" t="s">
        <v>33</v>
      </c>
      <c r="CL10" s="81" t="s">
        <v>33</v>
      </c>
      <c r="CM10" s="79">
        <f>402+859</f>
        <v>1261</v>
      </c>
      <c r="CN10" s="79">
        <v>0</v>
      </c>
      <c r="CO10" s="78">
        <f>SUM(CI10:CJ10,CM10:CN10)</f>
        <v>1675</v>
      </c>
      <c r="CP10" s="78"/>
      <c r="CQ10" s="79">
        <f>16+7</f>
        <v>23</v>
      </c>
      <c r="CR10" s="79">
        <v>4</v>
      </c>
      <c r="CS10" s="81" t="s">
        <v>33</v>
      </c>
      <c r="CT10" s="81" t="s">
        <v>33</v>
      </c>
      <c r="CU10" s="79">
        <v>8</v>
      </c>
      <c r="CV10" s="79">
        <v>0</v>
      </c>
      <c r="CW10" s="78">
        <f>SUM(CQ10:CR10,CU10:CV10)</f>
        <v>35</v>
      </c>
      <c r="CX10" s="78"/>
      <c r="CY10" s="81" t="s">
        <v>33</v>
      </c>
      <c r="CZ10" s="81" t="s">
        <v>33</v>
      </c>
      <c r="DA10" s="81" t="s">
        <v>33</v>
      </c>
      <c r="DB10" s="81" t="s">
        <v>33</v>
      </c>
      <c r="DC10" s="81" t="s">
        <v>33</v>
      </c>
      <c r="DD10" s="81" t="s">
        <v>33</v>
      </c>
      <c r="DE10" s="78">
        <f t="shared" si="24"/>
        <v>0</v>
      </c>
      <c r="DF10" s="78"/>
      <c r="DG10" s="85">
        <f t="shared" si="25"/>
        <v>0.89861987010542166</v>
      </c>
      <c r="DH10" s="85">
        <f t="shared" si="25"/>
        <v>8.1972420933734927E-2</v>
      </c>
      <c r="DI10" s="85">
        <f t="shared" si="26"/>
        <v>1.9407708960843373E-2</v>
      </c>
      <c r="DJ10" s="85" t="str">
        <f t="shared" si="26"/>
        <v>-</v>
      </c>
      <c r="DK10" s="78"/>
      <c r="DL10" s="85">
        <f t="shared" si="13"/>
        <v>0.91527732280477925</v>
      </c>
      <c r="DM10" s="85">
        <f t="shared" si="13"/>
        <v>6.5889668568932719E-2</v>
      </c>
      <c r="DN10" s="85">
        <f t="shared" si="14"/>
        <v>1.8833008626288054E-2</v>
      </c>
      <c r="DO10" s="85" t="str">
        <f t="shared" si="14"/>
        <v>-</v>
      </c>
      <c r="DP10" s="78"/>
      <c r="DQ10" s="85">
        <f t="shared" si="15"/>
        <v>0.70888545099885647</v>
      </c>
      <c r="DR10" s="85">
        <f t="shared" si="15"/>
        <v>0.24006188202058248</v>
      </c>
      <c r="DS10" s="85">
        <f t="shared" si="16"/>
        <v>5.1052666980560969E-2</v>
      </c>
      <c r="DT10" s="85" t="str">
        <f t="shared" si="16"/>
        <v>-</v>
      </c>
      <c r="DU10" s="78"/>
      <c r="DV10" s="85">
        <f t="shared" si="17"/>
        <v>0.86195339484047551</v>
      </c>
      <c r="DW10" s="85">
        <f t="shared" si="17"/>
        <v>0.11436232113431334</v>
      </c>
      <c r="DX10" s="85">
        <f t="shared" si="18"/>
        <v>2.36842840252111E-2</v>
      </c>
      <c r="DY10" s="85" t="str">
        <f t="shared" si="18"/>
        <v>-</v>
      </c>
      <c r="DZ10" s="78"/>
      <c r="EA10" s="85">
        <f t="shared" si="27"/>
        <v>0.98699782534050595</v>
      </c>
      <c r="EB10" s="85">
        <f t="shared" si="27"/>
        <v>1.2590133913242532E-2</v>
      </c>
      <c r="EC10" s="85">
        <f t="shared" si="28"/>
        <v>4.1204074625157374E-4</v>
      </c>
      <c r="ED10" s="85" t="str">
        <f t="shared" si="28"/>
        <v>-</v>
      </c>
      <c r="EE10" s="78"/>
      <c r="EF10" s="86">
        <f t="shared" si="29"/>
        <v>5.381596162232883E-2</v>
      </c>
      <c r="EG10" s="86">
        <f t="shared" si="30"/>
        <v>3.8666293079293923E-2</v>
      </c>
      <c r="EH10" s="86">
        <f t="shared" si="31"/>
        <v>2.3526538586779552E-2</v>
      </c>
      <c r="EI10" s="86">
        <f t="shared" si="32"/>
        <v>1.2727272727272726E-2</v>
      </c>
      <c r="EJ10" s="86">
        <f t="shared" si="33"/>
        <v>3.7713506530787998E-2</v>
      </c>
      <c r="EK10" s="78"/>
      <c r="EL10" s="87">
        <f t="shared" si="34"/>
        <v>1.0540029197844858E-3</v>
      </c>
      <c r="EM10" s="87">
        <f t="shared" si="34"/>
        <v>2.6984354815559067E-2</v>
      </c>
      <c r="EN10" s="87">
        <f t="shared" si="35"/>
        <v>0.41194301303425285</v>
      </c>
      <c r="EO10" s="87" t="str">
        <f t="shared" si="35"/>
        <v>-</v>
      </c>
      <c r="EP10" s="87">
        <f t="shared" si="35"/>
        <v>1.115399096385542E-2</v>
      </c>
      <c r="EQ10" s="74"/>
      <c r="ER10" s="87">
        <f t="shared" si="36"/>
        <v>1.5697502841248014E-4</v>
      </c>
      <c r="ES10" s="88">
        <f t="shared" si="36"/>
        <v>1.0292193632795465E-2</v>
      </c>
      <c r="ET10" s="88">
        <f t="shared" si="37"/>
        <v>0.25053402502288674</v>
      </c>
      <c r="EU10" s="88" t="str">
        <f t="shared" si="37"/>
        <v>-</v>
      </c>
      <c r="EV10" s="88">
        <f t="shared" si="37"/>
        <v>5.5401343654994462E-3</v>
      </c>
      <c r="EW10" s="78"/>
      <c r="EX10" s="87">
        <f t="shared" si="38"/>
        <v>9.9629945915172234E-3</v>
      </c>
      <c r="EY10" s="88">
        <f t="shared" si="38"/>
        <v>0.10787335388063883</v>
      </c>
      <c r="EZ10" s="88">
        <f t="shared" si="39"/>
        <v>0.82740447957839258</v>
      </c>
      <c r="FA10" s="88" t="str">
        <f t="shared" si="39"/>
        <v>-</v>
      </c>
      <c r="FB10" s="88">
        <f t="shared" si="39"/>
        <v>7.5200107620905357E-2</v>
      </c>
      <c r="FC10" s="78"/>
      <c r="FD10" s="87">
        <f t="shared" si="40"/>
        <v>1.8253496786736511E-3</v>
      </c>
      <c r="FE10" s="88">
        <f t="shared" si="40"/>
        <v>1.994464343861934E-2</v>
      </c>
      <c r="FF10" s="88">
        <f t="shared" si="41"/>
        <v>0.4956761006289308</v>
      </c>
      <c r="FG10" s="88" t="str">
        <f t="shared" si="41"/>
        <v>-</v>
      </c>
      <c r="FH10" s="88">
        <f t="shared" si="41"/>
        <v>1.5594015621945199E-2</v>
      </c>
      <c r="FI10" s="78"/>
      <c r="FJ10" s="87">
        <f t="shared" si="42"/>
        <v>5.3343228888837343E-4</v>
      </c>
      <c r="FK10" s="87">
        <f t="shared" si="42"/>
        <v>7.2727272727272727E-3</v>
      </c>
      <c r="FL10" s="87">
        <f t="shared" si="43"/>
        <v>0.44444444444444448</v>
      </c>
      <c r="FM10" s="87" t="str">
        <f t="shared" si="43"/>
        <v>-</v>
      </c>
      <c r="FN10" s="87">
        <f t="shared" si="43"/>
        <v>8.0119033993361567E-4</v>
      </c>
      <c r="FP10" s="90">
        <v>25</v>
      </c>
      <c r="FQ10" s="90">
        <f>104+253</f>
        <v>357</v>
      </c>
      <c r="FR10" s="90">
        <f>33+283</f>
        <v>316</v>
      </c>
      <c r="FS10" s="90">
        <f>2-4</f>
        <v>-2</v>
      </c>
      <c r="FT10" s="91">
        <f t="shared" si="44"/>
        <v>696</v>
      </c>
      <c r="FV10" s="92">
        <f t="shared" si="45"/>
        <v>1.4367568375257901E-4</v>
      </c>
      <c r="FW10" s="92">
        <f t="shared" si="46"/>
        <v>2.4012914508643301E-2</v>
      </c>
      <c r="FX10" s="92">
        <f t="shared" si="47"/>
        <v>2.9419157830057811E-3</v>
      </c>
      <c r="FY10" s="92">
        <f t="shared" si="48"/>
        <v>-4.5782305139063746E-5</v>
      </c>
      <c r="FZ10" s="92">
        <f t="shared" si="49"/>
        <v>2.0472515060240963E-3</v>
      </c>
      <c r="GB10" s="90">
        <v>78</v>
      </c>
      <c r="GC10" s="90">
        <f>76+156</f>
        <v>232</v>
      </c>
      <c r="GD10" s="90">
        <f>250+219</f>
        <v>469</v>
      </c>
      <c r="GE10" s="90">
        <v>13</v>
      </c>
      <c r="GF10" s="93">
        <f t="shared" ref="GF10" si="59">IF(SUM(GB10:GE10)=0,"-",SUM(GB10:GE10))</f>
        <v>792</v>
      </c>
      <c r="GH10" s="92">
        <f t="shared" si="50"/>
        <v>4.4826813330804644E-4</v>
      </c>
      <c r="GI10" s="92">
        <f t="shared" si="51"/>
        <v>1.5605031277325619E-2</v>
      </c>
      <c r="GJ10" s="92">
        <f t="shared" si="52"/>
        <v>4.3663243741446566E-3</v>
      </c>
      <c r="GK10" s="92">
        <f t="shared" si="53"/>
        <v>2.9758498340391439E-4</v>
      </c>
      <c r="GL10" s="92">
        <f t="shared" si="54"/>
        <v>2.3296310240963855E-3</v>
      </c>
      <c r="GN10" s="94">
        <f t="shared" si="55"/>
        <v>0.58728647948076662</v>
      </c>
    </row>
    <row r="11" spans="1:197" s="105" customFormat="1" x14ac:dyDescent="0.25">
      <c r="A11" s="109" t="s">
        <v>37</v>
      </c>
      <c r="B11" s="95"/>
      <c r="C11" s="96">
        <f t="shared" si="0"/>
        <v>314.81900000000002</v>
      </c>
      <c r="D11" s="96">
        <f t="shared" si="0"/>
        <v>298.68299999999999</v>
      </c>
      <c r="E11" s="96">
        <f t="shared" si="0"/>
        <v>0.66700000000000004</v>
      </c>
      <c r="F11" s="96">
        <f t="shared" si="0"/>
        <v>0.62400000000000011</v>
      </c>
      <c r="G11" s="96">
        <f t="shared" si="0"/>
        <v>52.368000000000002</v>
      </c>
      <c r="H11" s="96" t="str">
        <f t="shared" si="0"/>
        <v>-</v>
      </c>
      <c r="I11" s="96">
        <f t="shared" si="0"/>
        <v>665.87</v>
      </c>
      <c r="J11" s="96"/>
      <c r="K11" s="96">
        <f t="shared" si="19"/>
        <v>298.78300000000002</v>
      </c>
      <c r="L11" s="96">
        <f t="shared" si="19"/>
        <v>21.683</v>
      </c>
      <c r="M11" s="96">
        <f t="shared" si="19"/>
        <v>0.66700000000000004</v>
      </c>
      <c r="N11" s="96">
        <f t="shared" si="19"/>
        <v>0.62400000000000011</v>
      </c>
      <c r="O11" s="96">
        <f t="shared" si="19"/>
        <v>7.3680000000000003</v>
      </c>
      <c r="P11" s="96" t="str">
        <f t="shared" si="19"/>
        <v>-</v>
      </c>
      <c r="Q11" s="96">
        <f t="shared" si="19"/>
        <v>327.834</v>
      </c>
      <c r="R11" s="96"/>
      <c r="S11" s="97">
        <f>76123/1000</f>
        <v>76.123000000000005</v>
      </c>
      <c r="T11" s="97">
        <f>2278/1000</f>
        <v>2.278</v>
      </c>
      <c r="U11" s="97" t="s">
        <v>33</v>
      </c>
      <c r="V11" s="97" t="s">
        <v>33</v>
      </c>
      <c r="W11" s="97">
        <f>283/1000</f>
        <v>0.28299999999999997</v>
      </c>
      <c r="X11" s="98">
        <v>0</v>
      </c>
      <c r="Y11" s="98">
        <f t="shared" ref="Y11" si="60">SUM(S11:T11,W11:X11)</f>
        <v>78.684000000000012</v>
      </c>
      <c r="Z11" s="98"/>
      <c r="AA11" s="97">
        <f>((103899+14249)/1000)-S11</f>
        <v>42.024999999999991</v>
      </c>
      <c r="AB11" s="98">
        <f>((3029+284)/1000)-T11</f>
        <v>1.0350000000000001</v>
      </c>
      <c r="AC11" s="97">
        <f>(462+0)/1000</f>
        <v>0.46200000000000002</v>
      </c>
      <c r="AD11" s="97">
        <f>(336+4)/1000</f>
        <v>0.34</v>
      </c>
      <c r="AE11" s="98">
        <f>(846+336)/1000-W11</f>
        <v>0.89900000000000002</v>
      </c>
      <c r="AF11" s="98">
        <v>0</v>
      </c>
      <c r="AG11" s="98">
        <f t="shared" ref="AG11" si="61">SUM(AA11:AB11,AE11:AF11)</f>
        <v>43.958999999999989</v>
      </c>
      <c r="AH11" s="98"/>
      <c r="AI11" s="98">
        <f>23683/1000</f>
        <v>23.683</v>
      </c>
      <c r="AJ11" s="98">
        <f>3985/1000</f>
        <v>3.9849999999999999</v>
      </c>
      <c r="AK11" s="97">
        <f>58/1000</f>
        <v>5.8000000000000003E-2</v>
      </c>
      <c r="AL11" s="97">
        <f>86/1000</f>
        <v>8.5999999999999993E-2</v>
      </c>
      <c r="AM11" s="98">
        <f>2013/1000</f>
        <v>2.0129999999999999</v>
      </c>
      <c r="AN11" s="98">
        <v>0</v>
      </c>
      <c r="AO11" s="98">
        <f t="shared" ref="AO11" si="62">SUM(AI11:AJ11,AM11:AN11)</f>
        <v>29.680999999999997</v>
      </c>
      <c r="AP11" s="98"/>
      <c r="AQ11" s="98">
        <f>(52634+94226+10092)/1000</f>
        <v>156.952</v>
      </c>
      <c r="AR11" s="97">
        <f>(924+13454+7)/1000</f>
        <v>14.385</v>
      </c>
      <c r="AS11" s="97">
        <f>(2+145+0)/1000</f>
        <v>0.14699999999999999</v>
      </c>
      <c r="AT11" s="97">
        <f>(23+175+0)/1000</f>
        <v>0.19800000000000001</v>
      </c>
      <c r="AU11" s="98">
        <f>(0+4173+0)/1000</f>
        <v>4.173</v>
      </c>
      <c r="AV11" s="98">
        <v>0</v>
      </c>
      <c r="AW11" s="98">
        <f t="shared" ref="AW11" si="63">SUM(AQ11:AR11,AU11:AV11)</f>
        <v>175.51</v>
      </c>
      <c r="AX11" s="98"/>
      <c r="AY11" s="97">
        <f>(13678+2358)/1000</f>
        <v>16.036000000000001</v>
      </c>
      <c r="AZ11" s="97">
        <f>277+0/1000</f>
        <v>277</v>
      </c>
      <c r="BA11" s="99" t="s">
        <v>33</v>
      </c>
      <c r="BB11" s="99" t="s">
        <v>33</v>
      </c>
      <c r="BC11" s="97">
        <f>45+0/1000</f>
        <v>45</v>
      </c>
      <c r="BD11" s="97">
        <v>0</v>
      </c>
      <c r="BE11" s="98">
        <f t="shared" ref="BE11" si="64">SUM(AY11:AZ11,BC11:BD11)</f>
        <v>338.036</v>
      </c>
      <c r="BF11" s="98"/>
      <c r="BG11" s="96">
        <f t="shared" si="20"/>
        <v>464.01</v>
      </c>
      <c r="BH11" s="96">
        <f t="shared" si="20"/>
        <v>435.00599999999997</v>
      </c>
      <c r="BI11" s="96">
        <f t="shared" si="21"/>
        <v>5210.0450000000001</v>
      </c>
      <c r="BJ11" s="96" t="str">
        <f t="shared" si="21"/>
        <v>-</v>
      </c>
      <c r="BK11" s="96">
        <f t="shared" si="21"/>
        <v>6109.0609999999997</v>
      </c>
      <c r="BL11" s="96"/>
      <c r="BM11" s="96">
        <f t="shared" si="22"/>
        <v>464</v>
      </c>
      <c r="BN11" s="96">
        <f t="shared" si="22"/>
        <v>435</v>
      </c>
      <c r="BO11" s="96">
        <f t="shared" si="23"/>
        <v>5210</v>
      </c>
      <c r="BP11" s="96" t="str">
        <f t="shared" si="23"/>
        <v>-</v>
      </c>
      <c r="BQ11" s="96">
        <f t="shared" si="23"/>
        <v>6109</v>
      </c>
      <c r="BR11" s="96"/>
      <c r="BS11" s="97">
        <f>10</f>
        <v>10</v>
      </c>
      <c r="BT11" s="97">
        <f>12</f>
        <v>12</v>
      </c>
      <c r="BU11" s="97" t="s">
        <v>33</v>
      </c>
      <c r="BV11" s="97" t="s">
        <v>33</v>
      </c>
      <c r="BW11" s="97">
        <f>123</f>
        <v>123</v>
      </c>
      <c r="BX11" s="97">
        <v>0</v>
      </c>
      <c r="BY11" s="98">
        <f>SUM(BS11:BT11,BW11:BX11)</f>
        <v>145</v>
      </c>
      <c r="BZ11" s="98"/>
      <c r="CA11" s="97">
        <f>((289+10))-BS11</f>
        <v>289</v>
      </c>
      <c r="CB11" s="98">
        <f>((173+1))-BT11</f>
        <v>162</v>
      </c>
      <c r="CC11" s="97">
        <f>(45+0)</f>
        <v>45</v>
      </c>
      <c r="CD11" s="97">
        <f>(40+0)</f>
        <v>40</v>
      </c>
      <c r="CE11" s="98">
        <f>((374+147))-BW11</f>
        <v>398</v>
      </c>
      <c r="CF11" s="98">
        <v>0</v>
      </c>
      <c r="CG11" s="98">
        <f>SUM(CA11:CB11,CE11:CF11)</f>
        <v>849</v>
      </c>
      <c r="CH11" s="98"/>
      <c r="CI11" s="97">
        <f>24</f>
        <v>24</v>
      </c>
      <c r="CJ11" s="97">
        <f>60</f>
        <v>60</v>
      </c>
      <c r="CK11" s="97">
        <f>2</f>
        <v>2</v>
      </c>
      <c r="CL11" s="97">
        <f>5</f>
        <v>5</v>
      </c>
      <c r="CM11" s="97">
        <f>1503</f>
        <v>1503</v>
      </c>
      <c r="CN11" s="97">
        <v>0</v>
      </c>
      <c r="CO11" s="98">
        <f>SUM(CI11:CJ11,CM11:CN11)</f>
        <v>1587</v>
      </c>
      <c r="CP11" s="98"/>
      <c r="CQ11" s="98">
        <f>(5+78+1+43+14)</f>
        <v>141</v>
      </c>
      <c r="CR11" s="97">
        <f>(4+143+0+38+16)</f>
        <v>201</v>
      </c>
      <c r="CS11" s="97">
        <f>(0+3+0+0+0)</f>
        <v>3</v>
      </c>
      <c r="CT11" s="97">
        <f>(0+4+0+0+0)</f>
        <v>4</v>
      </c>
      <c r="CU11" s="98">
        <f>(0+2980+0+0+206)</f>
        <v>3186</v>
      </c>
      <c r="CV11" s="98">
        <v>0</v>
      </c>
      <c r="CW11" s="98">
        <f t="shared" ref="CW11" si="65">SUM(CQ11:CR11,CU11:CV11)</f>
        <v>3528</v>
      </c>
      <c r="CX11" s="98"/>
      <c r="CY11" s="97">
        <f>(10+0)/1000</f>
        <v>0.01</v>
      </c>
      <c r="CZ11" s="97">
        <f>(6+0)/1000</f>
        <v>6.0000000000000001E-3</v>
      </c>
      <c r="DA11" s="99" t="s">
        <v>33</v>
      </c>
      <c r="DB11" s="99" t="s">
        <v>33</v>
      </c>
      <c r="DC11" s="97">
        <f>(45+0)/1000</f>
        <v>4.4999999999999998E-2</v>
      </c>
      <c r="DD11" s="97">
        <v>0</v>
      </c>
      <c r="DE11" s="100">
        <f t="shared" si="24"/>
        <v>6.0999999999999999E-2</v>
      </c>
      <c r="DF11" s="98"/>
      <c r="DG11" s="101">
        <f t="shared" si="25"/>
        <v>0.91138503022871331</v>
      </c>
      <c r="DH11" s="101">
        <f t="shared" si="25"/>
        <v>6.6140180701208542E-2</v>
      </c>
      <c r="DI11" s="101">
        <f t="shared" si="26"/>
        <v>2.247478907007815E-2</v>
      </c>
      <c r="DJ11" s="101" t="str">
        <f t="shared" si="26"/>
        <v>-</v>
      </c>
      <c r="DK11" s="98"/>
      <c r="DL11" s="101">
        <f t="shared" si="13"/>
        <v>0.96745208682832584</v>
      </c>
      <c r="DM11" s="101">
        <f t="shared" si="13"/>
        <v>2.8951248030095061E-2</v>
      </c>
      <c r="DN11" s="101">
        <f t="shared" si="14"/>
        <v>3.5966651415789731E-3</v>
      </c>
      <c r="DO11" s="101" t="str">
        <f t="shared" si="14"/>
        <v>-</v>
      </c>
      <c r="DP11" s="98"/>
      <c r="DQ11" s="101">
        <f t="shared" si="15"/>
        <v>0.95600445870015249</v>
      </c>
      <c r="DR11" s="101">
        <f t="shared" si="15"/>
        <v>2.3544666621169736E-2</v>
      </c>
      <c r="DS11" s="101">
        <f t="shared" si="16"/>
        <v>2.0450874678677865E-2</v>
      </c>
      <c r="DT11" s="101" t="str">
        <f t="shared" si="16"/>
        <v>-</v>
      </c>
      <c r="DU11" s="98"/>
      <c r="DV11" s="101">
        <f t="shared" si="17"/>
        <v>0.79791785991038044</v>
      </c>
      <c r="DW11" s="101">
        <f t="shared" si="17"/>
        <v>0.13426097503453388</v>
      </c>
      <c r="DX11" s="101">
        <f t="shared" si="18"/>
        <v>6.7821165055085744E-2</v>
      </c>
      <c r="DY11" s="101" t="str">
        <f t="shared" si="18"/>
        <v>-</v>
      </c>
      <c r="DZ11" s="98"/>
      <c r="EA11" s="101">
        <f t="shared" si="27"/>
        <v>0.89426243518887816</v>
      </c>
      <c r="EB11" s="101">
        <f t="shared" si="27"/>
        <v>8.1961141815281177E-2</v>
      </c>
      <c r="EC11" s="101">
        <f t="shared" si="28"/>
        <v>2.3776422995840693E-2</v>
      </c>
      <c r="ED11" s="101" t="str">
        <f t="shared" si="28"/>
        <v>-</v>
      </c>
      <c r="EE11" s="98"/>
      <c r="EF11" s="102" t="str">
        <f t="shared" si="29"/>
        <v>-</v>
      </c>
      <c r="EG11" s="102">
        <f t="shared" si="30"/>
        <v>0.32850241545893716</v>
      </c>
      <c r="EH11" s="102">
        <f t="shared" si="31"/>
        <v>2.1580928481806774E-2</v>
      </c>
      <c r="EI11" s="102">
        <f t="shared" si="32"/>
        <v>1.3764337851929093E-2</v>
      </c>
      <c r="EJ11" s="102">
        <f>IF(ISERROR(N11/L11),"-",N11/L11)</f>
        <v>2.8778305585020529E-2</v>
      </c>
      <c r="EK11" s="98"/>
      <c r="EL11" s="103">
        <f t="shared" si="34"/>
        <v>1.5529665342405691E-3</v>
      </c>
      <c r="EM11" s="103">
        <f t="shared" si="34"/>
        <v>2.0061799566480652E-2</v>
      </c>
      <c r="EN11" s="103">
        <f t="shared" si="35"/>
        <v>0.70711183496199781</v>
      </c>
      <c r="EO11" s="103" t="str">
        <f t="shared" si="35"/>
        <v>-</v>
      </c>
      <c r="EP11" s="103">
        <f>IF(ISERROR(BQ11/Q11/1000),"-",IF((BQ11/Q11/1000)&lt;=0,"-",BQ11/Q11/1000))</f>
        <v>1.863443083999829E-2</v>
      </c>
      <c r="EQ11" s="96"/>
      <c r="ER11" s="103">
        <f t="shared" si="36"/>
        <v>1.3136634131602801E-4</v>
      </c>
      <c r="ES11" s="104">
        <f t="shared" si="36"/>
        <v>5.2677787532923615E-3</v>
      </c>
      <c r="ET11" s="104">
        <f t="shared" si="37"/>
        <v>0.4346289752650177</v>
      </c>
      <c r="EU11" s="104" t="str">
        <f t="shared" si="37"/>
        <v>-</v>
      </c>
      <c r="EV11" s="104">
        <f t="shared" si="37"/>
        <v>1.8428142951553046E-3</v>
      </c>
      <c r="EW11" s="98"/>
      <c r="EX11" s="103">
        <f t="shared" si="38"/>
        <v>6.8768590124925659E-3</v>
      </c>
      <c r="EY11" s="104">
        <f t="shared" si="38"/>
        <v>0.15652173913043474</v>
      </c>
      <c r="EZ11" s="104">
        <f t="shared" si="39"/>
        <v>0.44271412680756395</v>
      </c>
      <c r="FA11" s="104" t="str">
        <f t="shared" si="39"/>
        <v>-</v>
      </c>
      <c r="FB11" s="104">
        <f t="shared" si="39"/>
        <v>1.9313451170408794E-2</v>
      </c>
      <c r="FC11" s="98"/>
      <c r="FD11" s="103">
        <f t="shared" si="40"/>
        <v>1.0133851285732383E-3</v>
      </c>
      <c r="FE11" s="104">
        <f t="shared" si="40"/>
        <v>1.5056461731493099E-2</v>
      </c>
      <c r="FF11" s="104">
        <f t="shared" si="41"/>
        <v>0.74664679582712368</v>
      </c>
      <c r="FG11" s="104" t="str">
        <f t="shared" si="41"/>
        <v>-</v>
      </c>
      <c r="FH11" s="104">
        <f t="shared" si="41"/>
        <v>5.3468548903338839E-2</v>
      </c>
      <c r="FI11" s="98"/>
      <c r="FJ11" s="103">
        <f t="shared" si="42"/>
        <v>8.9836383098017226E-4</v>
      </c>
      <c r="FK11" s="103">
        <f t="shared" si="42"/>
        <v>1.397288842544317E-2</v>
      </c>
      <c r="FL11" s="103">
        <f t="shared" si="43"/>
        <v>0.76347951114306245</v>
      </c>
      <c r="FM11" s="103" t="str">
        <f t="shared" si="43"/>
        <v>-</v>
      </c>
      <c r="FN11" s="103">
        <f t="shared" si="43"/>
        <v>2.0101418722579912E-2</v>
      </c>
      <c r="FP11" s="97">
        <v>0</v>
      </c>
      <c r="FQ11" s="97">
        <f>543</f>
        <v>543</v>
      </c>
      <c r="FR11" s="97">
        <f>148</f>
        <v>148</v>
      </c>
      <c r="FS11" s="97">
        <f>(19+989)</f>
        <v>1008</v>
      </c>
      <c r="FT11" s="106">
        <f>SUM(FP11:FS11)</f>
        <v>1699</v>
      </c>
      <c r="FV11" s="107" t="str">
        <f t="shared" si="45"/>
        <v>-</v>
      </c>
      <c r="FW11" s="107">
        <f t="shared" si="46"/>
        <v>1.2352419299802091E-2</v>
      </c>
      <c r="FX11" s="107">
        <f t="shared" si="47"/>
        <v>4.9863549071796779E-3</v>
      </c>
      <c r="FY11" s="107">
        <f t="shared" si="48"/>
        <v>5.7432624921656891E-3</v>
      </c>
      <c r="FZ11" s="107">
        <f t="shared" si="49"/>
        <v>5.1825008998456533E-3</v>
      </c>
      <c r="GB11" s="97">
        <v>0</v>
      </c>
      <c r="GC11" s="106">
        <f>330</f>
        <v>330</v>
      </c>
      <c r="GD11" s="106">
        <f>149</f>
        <v>149</v>
      </c>
      <c r="GE11" s="106">
        <f>(0+472)</f>
        <v>472</v>
      </c>
      <c r="GF11" s="108">
        <f>SUM(GB11:GE11)</f>
        <v>951</v>
      </c>
      <c r="GH11" s="107" t="str">
        <f t="shared" si="50"/>
        <v>-</v>
      </c>
      <c r="GI11" s="107">
        <f t="shared" si="51"/>
        <v>7.5069951545758571E-3</v>
      </c>
      <c r="GJ11" s="107">
        <f t="shared" si="52"/>
        <v>5.0200464943903518E-3</v>
      </c>
      <c r="GK11" s="107">
        <f t="shared" si="53"/>
        <v>2.6893054526807591E-3</v>
      </c>
      <c r="GL11" s="107">
        <f t="shared" si="54"/>
        <v>2.9008583612438001E-3</v>
      </c>
    </row>
  </sheetData>
  <mergeCells count="3">
    <mergeCell ref="GN4:GN5"/>
    <mergeCell ref="GO4:GO5"/>
    <mergeCell ref="BS5:BZ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4Q19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jhkang</dc:creator>
  <cp:lastModifiedBy>jhkang</cp:lastModifiedBy>
  <dcterms:created xsi:type="dcterms:W3CDTF">2021-03-13T11:37:15Z</dcterms:created>
  <dcterms:modified xsi:type="dcterms:W3CDTF">2021-03-13T11:40:09Z</dcterms:modified>
</cp:coreProperties>
</file>