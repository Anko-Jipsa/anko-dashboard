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Users\jhkang\Documents\cra_flask\dataset\Group\"/>
    </mc:Choice>
  </mc:AlternateContent>
  <xr:revisionPtr revIDLastSave="0" documentId="13_ncr:1_{EB9D50D5-1D07-4845-8704-FB8AAEB00DCE}" xr6:coauthVersionLast="45" xr6:coauthVersionMax="45" xr10:uidLastSave="{00000000-0000-0000-0000-000000000000}"/>
  <bookViews>
    <workbookView xWindow="4200" yWindow="1365" windowWidth="12150" windowHeight="15495" xr2:uid="{E6F221CC-19A1-48D9-9F06-99AA515FEE4C}"/>
  </bookViews>
  <sheets>
    <sheet name="4Q20" sheetId="1" r:id="rId1"/>
  </sheets>
  <calcPr calcId="19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K9" i="1" l="1"/>
  <c r="GH9" i="1"/>
  <c r="GF9" i="1"/>
  <c r="FY9" i="1"/>
  <c r="FV9" i="1"/>
  <c r="FM9" i="1"/>
  <c r="FL9" i="1"/>
  <c r="FK9" i="1"/>
  <c r="FJ9" i="1"/>
  <c r="FG9" i="1"/>
  <c r="FF9" i="1"/>
  <c r="FD9" i="1"/>
  <c r="FA9" i="1"/>
  <c r="EZ9" i="1"/>
  <c r="EX9" i="1"/>
  <c r="EU9" i="1"/>
  <c r="ET9" i="1"/>
  <c r="ER9" i="1"/>
  <c r="EI9" i="1"/>
  <c r="EF9" i="1"/>
  <c r="ED9" i="1"/>
  <c r="EC9" i="1"/>
  <c r="DO9" i="1"/>
  <c r="DN9" i="1"/>
  <c r="DM9" i="1"/>
  <c r="DL9" i="1"/>
  <c r="DE9" i="1"/>
  <c r="CW9" i="1"/>
  <c r="FN9" i="1" s="1"/>
  <c r="CK9" i="1"/>
  <c r="CJ9" i="1"/>
  <c r="BH9" i="1" s="1"/>
  <c r="CG9" i="1"/>
  <c r="CC9" i="1"/>
  <c r="CB9" i="1"/>
  <c r="BU9" i="1"/>
  <c r="BT9" i="1"/>
  <c r="BN9" i="1" s="1"/>
  <c r="BP9" i="1"/>
  <c r="EO9" i="1" s="1"/>
  <c r="BO9" i="1"/>
  <c r="BM9" i="1"/>
  <c r="EL9" i="1" s="1"/>
  <c r="BJ9" i="1"/>
  <c r="BI9" i="1"/>
  <c r="BG9" i="1"/>
  <c r="BE9" i="1"/>
  <c r="AW9" i="1"/>
  <c r="EB9" i="1" s="1"/>
  <c r="AK9" i="1"/>
  <c r="AJ9" i="1"/>
  <c r="AO9" i="1" s="1"/>
  <c r="AC9" i="1"/>
  <c r="AB9" i="1"/>
  <c r="EY9" i="1" s="1"/>
  <c r="Y9" i="1"/>
  <c r="U9" i="1"/>
  <c r="T9" i="1"/>
  <c r="P9" i="1"/>
  <c r="O9" i="1"/>
  <c r="EN9" i="1" s="1"/>
  <c r="N9" i="1"/>
  <c r="M9" i="1"/>
  <c r="K9" i="1"/>
  <c r="H9" i="1"/>
  <c r="G9" i="1"/>
  <c r="F9" i="1"/>
  <c r="E9" i="1"/>
  <c r="D9" i="1"/>
  <c r="C9" i="1"/>
  <c r="FT7" i="1"/>
  <c r="FA7" i="1"/>
  <c r="EU7" i="1"/>
  <c r="ET7" i="1"/>
  <c r="ES7" i="1"/>
  <c r="EF7" i="1"/>
  <c r="DE7" i="1"/>
  <c r="CV7" i="1"/>
  <c r="CU7" i="1"/>
  <c r="CR7" i="1"/>
  <c r="CQ7" i="1"/>
  <c r="CN7" i="1"/>
  <c r="CM7" i="1"/>
  <c r="CJ7" i="1"/>
  <c r="CI7" i="1"/>
  <c r="CE7" i="1"/>
  <c r="CB7" i="1"/>
  <c r="CA7" i="1"/>
  <c r="BS7" i="1"/>
  <c r="BE7" i="1"/>
  <c r="AV7" i="1"/>
  <c r="FM7" i="1" s="1"/>
  <c r="AU7" i="1"/>
  <c r="AR7" i="1"/>
  <c r="AQ7" i="1"/>
  <c r="AN7" i="1"/>
  <c r="AM7" i="1"/>
  <c r="AJ7" i="1"/>
  <c r="AI7" i="1"/>
  <c r="AO7" i="1" s="1"/>
  <c r="FX7" i="1" s="1"/>
  <c r="AE7" i="1"/>
  <c r="AB7" i="1"/>
  <c r="EG7" i="1" s="1"/>
  <c r="AA7" i="1"/>
  <c r="Y7" i="1"/>
  <c r="GH7" i="1" s="1"/>
  <c r="N7" i="1"/>
  <c r="M7" i="1"/>
  <c r="F7" i="1"/>
  <c r="E7" i="1"/>
  <c r="FX9" i="1" l="1"/>
  <c r="DV9" i="1"/>
  <c r="GJ9" i="1"/>
  <c r="DY9" i="1"/>
  <c r="DX9" i="1"/>
  <c r="DW9" i="1"/>
  <c r="AG9" i="1"/>
  <c r="EG9" i="1"/>
  <c r="EH9" i="1"/>
  <c r="BY9" i="1"/>
  <c r="ES9" i="1"/>
  <c r="CO9" i="1"/>
  <c r="FH9" i="1" s="1"/>
  <c r="EA9" i="1"/>
  <c r="FE9" i="1"/>
  <c r="L9" i="1"/>
  <c r="EJ9" i="1" s="1"/>
  <c r="H7" i="1"/>
  <c r="BO7" i="1"/>
  <c r="BJ7" i="1"/>
  <c r="G7" i="1"/>
  <c r="FD7" i="1"/>
  <c r="BI7" i="1"/>
  <c r="FE7" i="1"/>
  <c r="P7" i="1"/>
  <c r="BP7" i="1"/>
  <c r="D7" i="1"/>
  <c r="BG7" i="1"/>
  <c r="FJ7" i="1"/>
  <c r="AG7" i="1"/>
  <c r="GI7" i="1" s="1"/>
  <c r="AW7" i="1"/>
  <c r="FF7" i="1"/>
  <c r="BY7" i="1"/>
  <c r="EV7" i="1" s="1"/>
  <c r="K7" i="1"/>
  <c r="DV7" i="1"/>
  <c r="CG7" i="1"/>
  <c r="FK7" i="1"/>
  <c r="DW7" i="1"/>
  <c r="EY7" i="1"/>
  <c r="FL7" i="1"/>
  <c r="DX7" i="1"/>
  <c r="BH7" i="1"/>
  <c r="EZ7" i="1"/>
  <c r="DY7" i="1"/>
  <c r="CW7" i="1"/>
  <c r="FN7" i="1" s="1"/>
  <c r="DT7" i="1"/>
  <c r="EA7" i="1"/>
  <c r="GK7" i="1"/>
  <c r="FY7" i="1"/>
  <c r="EB7" i="1"/>
  <c r="ED7" i="1"/>
  <c r="EC7" i="1"/>
  <c r="DN7" i="1"/>
  <c r="EH7" i="1"/>
  <c r="ER7" i="1"/>
  <c r="C7" i="1"/>
  <c r="L7" i="1"/>
  <c r="DO7" i="1"/>
  <c r="EI7" i="1"/>
  <c r="CO7" i="1"/>
  <c r="FH7" i="1" s="1"/>
  <c r="O7" i="1"/>
  <c r="BM7" i="1"/>
  <c r="DS7" i="1"/>
  <c r="GJ7" i="1"/>
  <c r="BN7" i="1"/>
  <c r="EX7" i="1"/>
  <c r="FG7" i="1"/>
  <c r="FV7" i="1"/>
  <c r="DL7" i="1"/>
  <c r="DM7" i="1"/>
  <c r="BQ9" i="1" l="1"/>
  <c r="EP9" i="1" s="1"/>
  <c r="EV9" i="1"/>
  <c r="BK9" i="1"/>
  <c r="FW9" i="1"/>
  <c r="DT9" i="1"/>
  <c r="DS9" i="1"/>
  <c r="GI9" i="1"/>
  <c r="DQ9" i="1"/>
  <c r="I9" i="1"/>
  <c r="Q9" i="1"/>
  <c r="DH9" i="1" s="1"/>
  <c r="DR9" i="1"/>
  <c r="EM9" i="1"/>
  <c r="FB9" i="1"/>
  <c r="EO7" i="1"/>
  <c r="Q7" i="1"/>
  <c r="DI7" i="1" s="1"/>
  <c r="EL7" i="1"/>
  <c r="FW7" i="1"/>
  <c r="I7" i="1"/>
  <c r="DR7" i="1"/>
  <c r="FB7" i="1"/>
  <c r="GN7" i="1"/>
  <c r="DQ7" i="1"/>
  <c r="EJ7" i="1"/>
  <c r="DH7" i="1"/>
  <c r="EN7" i="1"/>
  <c r="BK7" i="1"/>
  <c r="BQ7" i="1"/>
  <c r="EP7" i="1" s="1"/>
  <c r="EM7" i="1"/>
  <c r="FZ7" i="1"/>
  <c r="GL9" i="1" l="1"/>
  <c r="DJ9" i="1"/>
  <c r="FZ9" i="1"/>
  <c r="DG9" i="1"/>
  <c r="DI9" i="1"/>
  <c r="GL7" i="1"/>
  <c r="DJ7" i="1"/>
  <c r="DG7" i="1"/>
  <c r="GF11" i="1" l="1"/>
  <c r="FT11" i="1"/>
  <c r="FM11" i="1"/>
  <c r="FG11" i="1"/>
  <c r="FA11" i="1"/>
  <c r="EU11" i="1"/>
  <c r="DC11" i="1"/>
  <c r="CZ11" i="1"/>
  <c r="CY11" i="1"/>
  <c r="CU11" i="1"/>
  <c r="CR11" i="1"/>
  <c r="CQ11" i="1"/>
  <c r="CM11" i="1"/>
  <c r="CJ11" i="1"/>
  <c r="CI11" i="1"/>
  <c r="CE11" i="1"/>
  <c r="CB11" i="1"/>
  <c r="CA11" i="1"/>
  <c r="BW11" i="1"/>
  <c r="BT11" i="1"/>
  <c r="BS11" i="1"/>
  <c r="BP11" i="1"/>
  <c r="BJ11" i="1"/>
  <c r="BC11" i="1"/>
  <c r="AZ11" i="1"/>
  <c r="AY11" i="1"/>
  <c r="AU11" i="1"/>
  <c r="AR11" i="1"/>
  <c r="EI11" i="1" s="1"/>
  <c r="AQ11" i="1"/>
  <c r="AM11" i="1"/>
  <c r="DY11" i="1" s="1"/>
  <c r="AJ11" i="1"/>
  <c r="AI11" i="1"/>
  <c r="AE11" i="1"/>
  <c r="AB11" i="1"/>
  <c r="AA11" i="1"/>
  <c r="W11" i="1"/>
  <c r="T11" i="1"/>
  <c r="S11" i="1"/>
  <c r="P11" i="1"/>
  <c r="N11" i="1"/>
  <c r="M11" i="1"/>
  <c r="H11" i="1"/>
  <c r="F11" i="1"/>
  <c r="E11" i="1"/>
  <c r="GF10" i="1"/>
  <c r="FT10" i="1"/>
  <c r="FM10" i="1"/>
  <c r="FG10" i="1"/>
  <c r="FA10" i="1"/>
  <c r="EU10" i="1"/>
  <c r="DE10" i="1"/>
  <c r="CU10" i="1"/>
  <c r="CR10" i="1"/>
  <c r="CQ10" i="1"/>
  <c r="CM10" i="1"/>
  <c r="CJ10" i="1"/>
  <c r="CI10" i="1"/>
  <c r="CE10" i="1"/>
  <c r="CB10" i="1"/>
  <c r="CA10" i="1"/>
  <c r="BW10" i="1"/>
  <c r="BT10" i="1"/>
  <c r="BS10" i="1"/>
  <c r="BP10" i="1"/>
  <c r="BJ10" i="1"/>
  <c r="BE10" i="1"/>
  <c r="AU10" i="1"/>
  <c r="AT10" i="1"/>
  <c r="AR10" i="1"/>
  <c r="AQ10" i="1"/>
  <c r="AM10" i="1"/>
  <c r="DY10" i="1" s="1"/>
  <c r="AL10" i="1"/>
  <c r="AJ10" i="1"/>
  <c r="AI10" i="1"/>
  <c r="AE10" i="1"/>
  <c r="AD10" i="1"/>
  <c r="AB10" i="1"/>
  <c r="AA10" i="1"/>
  <c r="W10" i="1"/>
  <c r="V10" i="1"/>
  <c r="T10" i="1"/>
  <c r="S10" i="1"/>
  <c r="P10" i="1"/>
  <c r="H10" i="1"/>
  <c r="GF8" i="1"/>
  <c r="FS8" i="1"/>
  <c r="FR8" i="1"/>
  <c r="FQ8" i="1"/>
  <c r="FP8" i="1"/>
  <c r="FM8" i="1"/>
  <c r="FG8" i="1"/>
  <c r="FA8" i="1"/>
  <c r="DE8" i="1"/>
  <c r="CU8" i="1"/>
  <c r="CQ8" i="1"/>
  <c r="CM8" i="1"/>
  <c r="CL8" i="1"/>
  <c r="CJ8" i="1"/>
  <c r="CI8" i="1"/>
  <c r="CE8" i="1"/>
  <c r="CD8" i="1"/>
  <c r="CB8" i="1"/>
  <c r="CA8" i="1"/>
  <c r="BX8" i="1"/>
  <c r="BJ8" i="1" s="1"/>
  <c r="BW8" i="1"/>
  <c r="BV8" i="1"/>
  <c r="BT8" i="1"/>
  <c r="BS8" i="1"/>
  <c r="AY8" i="1"/>
  <c r="BE8" i="1" s="1"/>
  <c r="AU8" i="1"/>
  <c r="AR8" i="1"/>
  <c r="FK8" i="1" s="1"/>
  <c r="AQ8" i="1"/>
  <c r="AM8" i="1"/>
  <c r="DY8" i="1" s="1"/>
  <c r="AL8" i="1"/>
  <c r="EH8" i="1" s="1"/>
  <c r="AJ8" i="1"/>
  <c r="AI8" i="1"/>
  <c r="AE8" i="1"/>
  <c r="AD8" i="1"/>
  <c r="AB8" i="1"/>
  <c r="AA8" i="1"/>
  <c r="X8" i="1"/>
  <c r="W8" i="1"/>
  <c r="V8" i="1"/>
  <c r="T8" i="1"/>
  <c r="S8" i="1"/>
  <c r="BP8" i="1" l="1"/>
  <c r="CO11" i="1"/>
  <c r="EX10" i="1"/>
  <c r="BE11" i="1"/>
  <c r="DE11" i="1"/>
  <c r="U10" i="1"/>
  <c r="AK10" i="1"/>
  <c r="AG8" i="1"/>
  <c r="DS8" i="1" s="1"/>
  <c r="ES10" i="1"/>
  <c r="FK10" i="1"/>
  <c r="BG8" i="1"/>
  <c r="BN11" i="1"/>
  <c r="CO8" i="1"/>
  <c r="FF10" i="1"/>
  <c r="D11" i="1"/>
  <c r="BU8" i="1"/>
  <c r="ER8" i="1"/>
  <c r="FJ10" i="1"/>
  <c r="BY11" i="1"/>
  <c r="AC10" i="1"/>
  <c r="AS10" i="1"/>
  <c r="ET10" i="1"/>
  <c r="CG11" i="1"/>
  <c r="BH11" i="1"/>
  <c r="FL11" i="1"/>
  <c r="Y10" i="1"/>
  <c r="DO10" i="1" s="1"/>
  <c r="FL10" i="1"/>
  <c r="EZ11" i="1"/>
  <c r="F8" i="1"/>
  <c r="EX8" i="1"/>
  <c r="L10" i="1"/>
  <c r="EO11" i="1"/>
  <c r="G8" i="1"/>
  <c r="CW8" i="1"/>
  <c r="EH10" i="1"/>
  <c r="BM11" i="1"/>
  <c r="N8" i="1"/>
  <c r="EZ10" i="1"/>
  <c r="CW10" i="1"/>
  <c r="BG11" i="1"/>
  <c r="FE11" i="1"/>
  <c r="K8" i="1"/>
  <c r="EZ8" i="1"/>
  <c r="FL8" i="1"/>
  <c r="FW8" i="1"/>
  <c r="BN10" i="1"/>
  <c r="EM10" i="1" s="1"/>
  <c r="CG10" i="1"/>
  <c r="EO10" i="1"/>
  <c r="FD10" i="1"/>
  <c r="BO8" i="1"/>
  <c r="EG10" i="1"/>
  <c r="BG10" i="1"/>
  <c r="FJ11" i="1"/>
  <c r="DM10" i="1"/>
  <c r="C11" i="1"/>
  <c r="AK8" i="1"/>
  <c r="CG8" i="1"/>
  <c r="BM8" i="1"/>
  <c r="CC8" i="1"/>
  <c r="C10" i="1"/>
  <c r="N10" i="1"/>
  <c r="EJ10" i="1" s="1"/>
  <c r="BH10" i="1"/>
  <c r="ER10" i="1"/>
  <c r="CW11" i="1"/>
  <c r="BY8" i="1"/>
  <c r="D10" i="1"/>
  <c r="BI10" i="1"/>
  <c r="EY10" i="1"/>
  <c r="H8" i="1"/>
  <c r="P8" i="1"/>
  <c r="EO8" i="1" s="1"/>
  <c r="AW10" i="1"/>
  <c r="ET8" i="1"/>
  <c r="FD8" i="1"/>
  <c r="EG8" i="1"/>
  <c r="DR8" i="1"/>
  <c r="EU8" i="1"/>
  <c r="CK8" i="1"/>
  <c r="FE8" i="1"/>
  <c r="FT8" i="1"/>
  <c r="O8" i="1"/>
  <c r="AC8" i="1"/>
  <c r="EI8" i="1"/>
  <c r="AG10" i="1"/>
  <c r="DS10" i="1" s="1"/>
  <c r="G10" i="1"/>
  <c r="O10" i="1"/>
  <c r="AO8" i="1"/>
  <c r="DV8" i="1" s="1"/>
  <c r="C8" i="1"/>
  <c r="Y8" i="1"/>
  <c r="DM8" i="1" s="1"/>
  <c r="FF8" i="1"/>
  <c r="BI8" i="1"/>
  <c r="U8" i="1"/>
  <c r="L8" i="1"/>
  <c r="EJ8" i="1" s="1"/>
  <c r="EF8" i="1"/>
  <c r="D8" i="1"/>
  <c r="EL8" i="1"/>
  <c r="BH8" i="1"/>
  <c r="BN8" i="1"/>
  <c r="ES8" i="1"/>
  <c r="GI8" i="1"/>
  <c r="AG11" i="1"/>
  <c r="DQ11" i="1" s="1"/>
  <c r="EX11" i="1"/>
  <c r="F10" i="1"/>
  <c r="EB10" i="1"/>
  <c r="FE10" i="1"/>
  <c r="FD11" i="1"/>
  <c r="AO11" i="1"/>
  <c r="FH11" i="1" s="1"/>
  <c r="BM10" i="1"/>
  <c r="BY10" i="1"/>
  <c r="CO10" i="1"/>
  <c r="EF11" i="1"/>
  <c r="FF11" i="1"/>
  <c r="AW8" i="1"/>
  <c r="EY8" i="1"/>
  <c r="BO10" i="1"/>
  <c r="EF10" i="1"/>
  <c r="K11" i="1"/>
  <c r="G11" i="1"/>
  <c r="AW11" i="1"/>
  <c r="ET11" i="1"/>
  <c r="BI11" i="1"/>
  <c r="BO11" i="1"/>
  <c r="DX11" i="1"/>
  <c r="ER11" i="1"/>
  <c r="FJ8" i="1"/>
  <c r="K10" i="1"/>
  <c r="AO10" i="1"/>
  <c r="DW10" i="1" s="1"/>
  <c r="L11" i="1"/>
  <c r="EM11" i="1" s="1"/>
  <c r="Y11" i="1"/>
  <c r="DM11" i="1" s="1"/>
  <c r="ES11" i="1"/>
  <c r="FK11" i="1"/>
  <c r="EI10" i="1"/>
  <c r="EJ11" i="1"/>
  <c r="EG11" i="1"/>
  <c r="EY11" i="1"/>
  <c r="O11" i="1"/>
  <c r="EH11" i="1"/>
  <c r="FN8" i="1" l="1"/>
  <c r="GH10" i="1"/>
  <c r="DT8" i="1"/>
  <c r="FV10" i="1"/>
  <c r="DL10" i="1"/>
  <c r="DN10" i="1"/>
  <c r="E10" i="1"/>
  <c r="DR11" i="1"/>
  <c r="FB8" i="1"/>
  <c r="FH8" i="1"/>
  <c r="DQ8" i="1"/>
  <c r="BQ11" i="1"/>
  <c r="EN10" i="1"/>
  <c r="FN10" i="1"/>
  <c r="EL11" i="1"/>
  <c r="M10" i="1"/>
  <c r="EC10" i="1"/>
  <c r="DV11" i="1"/>
  <c r="DL8" i="1"/>
  <c r="EM8" i="1"/>
  <c r="EA10" i="1"/>
  <c r="BQ8" i="1"/>
  <c r="EN11" i="1"/>
  <c r="DN8" i="1"/>
  <c r="BK11" i="1"/>
  <c r="DR10" i="1"/>
  <c r="DQ10" i="1"/>
  <c r="BK8" i="1"/>
  <c r="DW11" i="1"/>
  <c r="EA8" i="1"/>
  <c r="GK11" i="1"/>
  <c r="ED11" i="1"/>
  <c r="EC11" i="1"/>
  <c r="FY11" i="1"/>
  <c r="DL11" i="1"/>
  <c r="FW10" i="1"/>
  <c r="DT10" i="1"/>
  <c r="Q10" i="1"/>
  <c r="DG10" i="1" s="1"/>
  <c r="GI10" i="1"/>
  <c r="M8" i="1"/>
  <c r="E8" i="1"/>
  <c r="FB10" i="1"/>
  <c r="DN11" i="1"/>
  <c r="EB11" i="1"/>
  <c r="EA11" i="1"/>
  <c r="FH10" i="1"/>
  <c r="FN11" i="1"/>
  <c r="EC8" i="1"/>
  <c r="Q11" i="1"/>
  <c r="DH11" i="1" s="1"/>
  <c r="GH11" i="1"/>
  <c r="EV11" i="1"/>
  <c r="I11" i="1"/>
  <c r="FV11" i="1"/>
  <c r="DO11" i="1"/>
  <c r="EV10" i="1"/>
  <c r="BK10" i="1"/>
  <c r="BQ10" i="1"/>
  <c r="EB8" i="1"/>
  <c r="DW8" i="1"/>
  <c r="FX8" i="1"/>
  <c r="DX8" i="1"/>
  <c r="GJ8" i="1"/>
  <c r="EN8" i="1"/>
  <c r="EL10" i="1"/>
  <c r="FX11" i="1"/>
  <c r="GJ11" i="1"/>
  <c r="GH8" i="1"/>
  <c r="Q8" i="1"/>
  <c r="DI8" i="1" s="1"/>
  <c r="DO8" i="1"/>
  <c r="FV8" i="1"/>
  <c r="I8" i="1"/>
  <c r="GK10" i="1"/>
  <c r="ED10" i="1"/>
  <c r="FY10" i="1"/>
  <c r="FX10" i="1"/>
  <c r="GJ10" i="1"/>
  <c r="DX10" i="1"/>
  <c r="FW11" i="1"/>
  <c r="GI11" i="1"/>
  <c r="DT11" i="1"/>
  <c r="FB11" i="1"/>
  <c r="DS11" i="1"/>
  <c r="DV10" i="1"/>
  <c r="EV8" i="1"/>
  <c r="GK8" i="1"/>
  <c r="FY8" i="1"/>
  <c r="ED8" i="1"/>
  <c r="I10" i="1"/>
  <c r="DI10" i="1" l="1"/>
  <c r="EP10" i="1"/>
  <c r="FZ8" i="1"/>
  <c r="EP8" i="1"/>
  <c r="DJ8" i="1"/>
  <c r="DJ11" i="1"/>
  <c r="FZ11" i="1"/>
  <c r="EP11" i="1"/>
  <c r="GL11" i="1"/>
  <c r="FZ10" i="1"/>
  <c r="GL10" i="1"/>
  <c r="DJ10" i="1"/>
  <c r="DH10" i="1"/>
  <c r="DG11" i="1"/>
  <c r="DH8" i="1"/>
  <c r="DI11" i="1"/>
  <c r="GL8" i="1"/>
  <c r="DG8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scaverzan</author>
    <author>marlistruwig</author>
    <author>jhkang</author>
    <author>rtedder</author>
    <author>tc={F1FDEF5F-B42F-4588-AE33-2C26A337C51A}</author>
    <author>tc={CAB20ADF-2B69-4A78-9BC6-C8B1044B477E}</author>
    <author>tc={A70A0775-98D3-4C86-AEAA-707F43D3BA25}</author>
    <author>DDFAdministrator</author>
    <author>jharris</author>
    <author>tc={5CB8F221-F09C-4448-A6F4-6645E5FFBD25}</author>
    <author>tc={AE0D55AC-71F0-4744-B47B-B6D2A53A8AFD}</author>
    <author>tc={C6FF3BF4-B5D5-4BB1-83F4-32D9E6E152CE}</author>
    <author>tc={3D9F3BA1-3878-4BB7-B139-8FBD5453F3DC}</author>
    <author>tc={F5F0992F-E279-4477-8807-3142CFFA326B}</author>
    <author>tc={D0802A42-1040-4F13-990F-1FA26EE8D6A0}</author>
  </authors>
  <commentList>
    <comment ref="C7" authorId="0" shapeId="0" xr:uid="{C29DF9D9-E8ED-4C33-8D28-3E3970020455}">
      <text>
        <r>
          <rPr>
            <b/>
            <sz val="9"/>
            <color indexed="81"/>
            <rFont val="Tahoma"/>
            <family val="2"/>
          </rPr>
          <t>scaverzan:</t>
        </r>
        <r>
          <rPr>
            <sz val="9"/>
            <color indexed="81"/>
            <rFont val="Tahoma"/>
            <family val="2"/>
          </rPr>
          <t xml:space="preserve">
Sonia added 'Other L&amp;A' in the first part of the formula</t>
        </r>
      </text>
    </comment>
    <comment ref="AW7" authorId="1" shapeId="0" xr:uid="{65BFB7AA-C96C-4B00-8A35-6EB3E0EE1217}">
      <text>
        <r>
          <rPr>
            <b/>
            <sz val="9"/>
            <color indexed="81"/>
            <rFont val="Tahoma"/>
            <family val="2"/>
          </rPr>
          <t>marlistruwig:</t>
        </r>
        <r>
          <rPr>
            <sz val="9"/>
            <color indexed="81"/>
            <rFont val="Tahoma"/>
            <family val="2"/>
          </rPr>
          <t xml:space="preserve">
Includes L&amp;A to non-bank FI (incl. off BS) + L&amp;A to banks + other fin assets @ amort costs</t>
        </r>
      </text>
    </comment>
    <comment ref="BE7" authorId="0" shapeId="0" xr:uid="{F74C88ED-4DC4-4EE2-BF8E-6E66AF304FBA}">
      <text>
        <r>
          <rPr>
            <b/>
            <sz val="9"/>
            <color indexed="81"/>
            <rFont val="Tahoma"/>
            <family val="2"/>
          </rPr>
          <t>scaverzan:</t>
        </r>
        <r>
          <rPr>
            <sz val="9"/>
            <color indexed="81"/>
            <rFont val="Tahoma"/>
            <family val="2"/>
          </rPr>
          <t xml:space="preserve">
Includes: L&amp;A to banks and other financial assets</t>
        </r>
      </text>
    </comment>
    <comment ref="CA7" authorId="2" shapeId="0" xr:uid="{8CAABB56-F9C7-4226-968F-89C7261F4CA9}">
      <text>
        <r>
          <rPr>
            <b/>
            <sz val="9"/>
            <color indexed="81"/>
            <rFont val="Tahoma"/>
            <family val="2"/>
          </rPr>
          <t>jhkang:</t>
        </r>
        <r>
          <rPr>
            <sz val="9"/>
            <color indexed="81"/>
            <rFont val="Tahoma"/>
            <family val="2"/>
          </rPr>
          <t xml:space="preserve">
jhkang:
 "other credit-related commitments and financial guarantees" figures are not disclosed. 
MS: Included  "other credit-related commitments and financial guarantees" - personal on page 20</t>
        </r>
      </text>
    </comment>
    <comment ref="CG7" authorId="3" shapeId="0" xr:uid="{C902ACD1-6852-49DF-94C7-2AB0173E6C5B}">
      <text>
        <r>
          <rPr>
            <b/>
            <sz val="9"/>
            <color indexed="81"/>
            <rFont val="Tahoma"/>
            <family val="2"/>
          </rPr>
          <t>rtedder:</t>
        </r>
        <r>
          <rPr>
            <sz val="9"/>
            <color indexed="81"/>
            <rFont val="Tahoma"/>
            <family val="2"/>
          </rPr>
          <t xml:space="preserve">
Assumes off BS personal ECL all relates to Cards</t>
        </r>
      </text>
    </comment>
    <comment ref="CI7" authorId="2" shapeId="0" xr:uid="{921911B0-5259-413F-AA95-202E1688FB5A}">
      <text>
        <r>
          <rPr>
            <b/>
            <sz val="9"/>
            <color indexed="81"/>
            <rFont val="Tahoma"/>
            <family val="2"/>
          </rPr>
          <t>jhkang:</t>
        </r>
        <r>
          <rPr>
            <sz val="9"/>
            <color indexed="81"/>
            <rFont val="Tahoma"/>
            <family val="2"/>
          </rPr>
          <t xml:space="preserve">
 "other credit-related commitments and financial guarantees" figures are not disclosed. P25 of Q320 report vs P72 of interim report 1H20
MS: Added "other credit-related commitments and financial guarantees"- corp&amp;comm p20</t>
        </r>
      </text>
    </comment>
    <comment ref="S8" authorId="4" shapeId="0" xr:uid="{F1FDEF5F-B42F-4588-AE33-2C26A337C51A}">
      <text>
        <t>[Threaded comment]
Your version of Excel allows you to read this threaded comment; however, any edits to it will get removed if the file is opened in a newer version of Excel. Learn more: https://go.microsoft.com/fwlink/?linkid=870924
Comment:
    Annual report 2020, Page 167</t>
      </text>
    </comment>
    <comment ref="V8" authorId="5" shapeId="0" xr:uid="{CAB20ADF-2B69-4A78-9BC6-C8B1044B477E}">
      <text>
        <t>[Threaded comment]
Your version of Excel allows you to read this threaded comment; however, any edits to it will get removed if the file is opened in a newer version of Excel. Learn more: https://go.microsoft.com/fwlink/?linkid=870924
Comment:
    Annual report 2020 Page 171</t>
      </text>
    </comment>
    <comment ref="AA8" authorId="6" shapeId="0" xr:uid="{A70A0775-98D3-4C86-AEAA-707F43D3BA25}">
      <text>
        <t>[Threaded comment]
Your version of Excel allows you to read this threaded comment; however, any edits to it will get removed if the file is opened in a newer version of Excel. Learn more: https://go.microsoft.com/fwlink/?linkid=870924
Comment:
    Annual report Page 167:
Credit cards + Loans and overdrafts + UK Motor + Other</t>
      </text>
    </comment>
    <comment ref="S9" authorId="1" shapeId="0" xr:uid="{692EF749-C9E4-4B21-9DD2-A4A4F2BD398B}">
      <text>
        <r>
          <rPr>
            <b/>
            <sz val="9"/>
            <color indexed="81"/>
            <rFont val="Tahoma"/>
            <family val="2"/>
          </rPr>
          <t>marlistruwig:</t>
        </r>
        <r>
          <rPr>
            <sz val="9"/>
            <color indexed="81"/>
            <rFont val="Tahoma"/>
            <family val="2"/>
          </rPr>
          <t xml:space="preserve">
Added off BS loan commitments</t>
        </r>
      </text>
    </comment>
    <comment ref="AY9" authorId="7" shapeId="0" xr:uid="{0CB708FF-DF2D-477D-9A05-D274F8572799}">
      <text>
        <r>
          <rPr>
            <b/>
            <sz val="9"/>
            <color indexed="81"/>
            <rFont val="Tahoma"/>
            <family val="2"/>
          </rPr>
          <t>DDFAdministrator:</t>
        </r>
        <r>
          <rPr>
            <sz val="9"/>
            <color indexed="81"/>
            <rFont val="Tahoma"/>
            <family val="2"/>
          </rPr>
          <t xml:space="preserve">
cells filled for first half and 3Q 2020</t>
        </r>
      </text>
    </comment>
    <comment ref="CY9" authorId="7" shapeId="0" xr:uid="{079468C3-28C9-483D-969A-70CE50893575}">
      <text>
        <r>
          <rPr>
            <b/>
            <sz val="9"/>
            <color indexed="81"/>
            <rFont val="Tahoma"/>
            <family val="2"/>
          </rPr>
          <t>DDFAdministrator:</t>
        </r>
        <r>
          <rPr>
            <sz val="9"/>
            <color indexed="81"/>
            <rFont val="Tahoma"/>
            <family val="2"/>
          </rPr>
          <t xml:space="preserve">
cells filled for fist half and 3Q 2020</t>
        </r>
      </text>
    </comment>
    <comment ref="A10" authorId="8" shapeId="0" xr:uid="{07FD365F-B083-47B1-9FB7-CE1BDBB3C3CB}">
      <text>
        <r>
          <rPr>
            <b/>
            <sz val="9"/>
            <color indexed="81"/>
            <rFont val="Tahoma"/>
            <family val="2"/>
          </rPr>
          <t>jharris:</t>
        </r>
        <r>
          <rPr>
            <sz val="9"/>
            <color indexed="81"/>
            <rFont val="Tahoma"/>
            <family val="2"/>
          </rPr>
          <t xml:space="preserve">
The NatWest Group retail bank is ring-fenced, and NatWest Markets operates as a 
non ring-fenced bank</t>
        </r>
      </text>
    </comment>
    <comment ref="AQ10" authorId="9" shapeId="0" xr:uid="{5CB8F221-F09C-4448-A6F4-6645E5FFBD25}">
      <text>
        <t>[Threaded comment]
Your version of Excel allows you to read this threaded comment; however, any edits to it will get removed if the file is opened in a newer version of Excel. Learn more: https://go.microsoft.com/fwlink/?linkid=870924
Comment:
    FI + Sovereign</t>
      </text>
    </comment>
    <comment ref="S11" authorId="10" shapeId="0" xr:uid="{AE0D55AC-71F0-4744-B47B-B6D2A53A8AFD}">
      <text>
        <t>[Threaded comment]
Your version of Excel allows you to read this threaded comment; however, any edits to it will get removed if the file is opened in a newer version of Excel. Learn more: https://go.microsoft.com/fwlink/?linkid=870924
Comment:
    Annual report Page 217</t>
      </text>
    </comment>
    <comment ref="AA11" authorId="11" shapeId="0" xr:uid="{C6FF3BF4-B5D5-4BB1-83F4-32D9E6E152CE}">
      <text>
        <t>[Threaded comment]
Your version of Excel allows you to read this threaded comment; however, any edits to it will get removed if the file is opened in a newer version of Excel. Learn more: https://go.microsoft.com/fwlink/?linkid=870924
Comment:
    Annual report 2020, Page 193:
Retail Banking + Private Banking</t>
      </text>
    </comment>
    <comment ref="AQ11" authorId="12" shapeId="0" xr:uid="{3D9F3BA1-3878-4BB7-B139-8FBD5453F3DC}">
      <text>
        <t>[Threaded comment]
Your version of Excel allows you to read this threaded comment; however, any edits to it will get removed if the file is opened in a newer version of Excel. Learn more: https://go.microsoft.com/fwlink/?linkid=870924
Comment:
    Annual report 2020, Page 193:
Banks + Corp&amp;Ind Bank + Cent&amp;Other Bank</t>
      </text>
    </comment>
    <comment ref="AY11" authorId="13" shapeId="0" xr:uid="{F5F0992F-E279-4477-8807-3142CFFA326B}">
      <text>
        <t>[Threaded comment]
Your version of Excel allows you to read this threaded comment; however, any edits to it will get removed if the file is opened in a newer version of Excel. Learn more: https://go.microsoft.com/fwlink/?linkid=870924
Comment:
    Other assets @ amortised cost, per PDF page 190:
1) Debt securities @ AC
2) Accrued Inc @ AC</t>
      </text>
    </comment>
    <comment ref="CQ11" authorId="14" shapeId="0" xr:uid="{D0802A42-1040-4F13-990F-1FA26EE8D6A0}">
      <text>
        <t>[Threaded comment]
Your version of Excel allows you to read this threaded comment; however, any edits to it will get removed if the file is opened in a newer version of Excel. Learn more: https://go.microsoft.com/fwlink/?linkid=870924
Comment:
    L&amp;A to (PDF p.193)
1) Banks;
2) Corp/Instit Banking
3) Central &amp; Other
4) Undrawn Commitments
5) Fin Guarantees
Reply:
    But this is not in line with the asset groupping?</t>
      </text>
    </comment>
  </commentList>
</comments>
</file>

<file path=xl/sharedStrings.xml><?xml version="1.0" encoding="utf-8"?>
<sst xmlns="http://schemas.openxmlformats.org/spreadsheetml/2006/main" count="488" uniqueCount="238">
  <si>
    <t>Financials and coverage 1Q20</t>
  </si>
  <si>
    <t>Firm</t>
  </si>
  <si>
    <t>Assets @ Gross Amortised Cost (£bn)</t>
  </si>
  <si>
    <t>Loans and Advances to Customers @ Gross Amortised Cost (£bn)</t>
  </si>
  <si>
    <t>ECL (£m)</t>
  </si>
  <si>
    <t>Staging balances (%)</t>
  </si>
  <si>
    <t>Stage 2 Analysis</t>
  </si>
  <si>
    <t>Coverage (%)</t>
  </si>
  <si>
    <t>Loss rates</t>
  </si>
  <si>
    <t>Total Assets</t>
  </si>
  <si>
    <t>Loans and Advances</t>
  </si>
  <si>
    <t>Mortgages</t>
  </si>
  <si>
    <t>Consumer Lending (including Auto Finance)</t>
  </si>
  <si>
    <t>Corporate &amp; Commercial</t>
  </si>
  <si>
    <t>Other Loans &amp; Advances</t>
  </si>
  <si>
    <t>Other Assets</t>
  </si>
  <si>
    <t>Total</t>
  </si>
  <si>
    <t>Total Loans &amp; Advances</t>
  </si>
  <si>
    <t>% of S2 30+</t>
  </si>
  <si>
    <t>P&amp;L Charge (£m)</t>
  </si>
  <si>
    <t>AQR (% L&amp;A)</t>
  </si>
  <si>
    <t>Gross Write-offs (£m)</t>
  </si>
  <si>
    <t>Write-off rate (%)</t>
  </si>
  <si>
    <t>S1</t>
  </si>
  <si>
    <t>S2</t>
  </si>
  <si>
    <t>S2 UTD</t>
  </si>
  <si>
    <t>S230+</t>
  </si>
  <si>
    <t>S3</t>
  </si>
  <si>
    <t>POCI</t>
  </si>
  <si>
    <t>Mtgs</t>
  </si>
  <si>
    <t>Cons</t>
  </si>
  <si>
    <t>Comm</t>
  </si>
  <si>
    <t>Other L&amp;A</t>
  </si>
  <si>
    <t>Total L&amp;A</t>
  </si>
  <si>
    <t>Other</t>
  </si>
  <si>
    <t>N/A</t>
  </si>
  <si>
    <t>-</t>
  </si>
  <si>
    <t>Barclays Group</t>
  </si>
  <si>
    <t>Lloyds - Statutory</t>
  </si>
  <si>
    <t>NatWest Group</t>
  </si>
  <si>
    <t>Standard Chatered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</si>
  <si>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</si>
  <si>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</si>
  <si>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</si>
  <si>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</si>
  <si>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</si>
  <si>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</si>
  <si>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</si>
  <si>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</si>
  <si>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</si>
  <si>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</si>
  <si>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</si>
  <si>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</si>
  <si>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</si>
  <si>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</si>
  <si>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</si>
  <si>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</si>
  <si>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Column17</t>
  </si>
  <si>
    <t>Column18</t>
  </si>
  <si>
    <t>Column19</t>
  </si>
  <si>
    <t>Column20</t>
  </si>
  <si>
    <t>Column21</t>
  </si>
  <si>
    <t>Column22</t>
  </si>
  <si>
    <t>Column23</t>
  </si>
  <si>
    <t>Column24</t>
  </si>
  <si>
    <t>Column25</t>
  </si>
  <si>
    <t>Column26</t>
  </si>
  <si>
    <t>Column27</t>
  </si>
  <si>
    <t>Column28</t>
  </si>
  <si>
    <t>Column29</t>
  </si>
  <si>
    <t>Column30</t>
  </si>
  <si>
    <t>Column31</t>
  </si>
  <si>
    <t>Column32</t>
  </si>
  <si>
    <t>Column33</t>
  </si>
  <si>
    <t>Column34</t>
  </si>
  <si>
    <t>Column35</t>
  </si>
  <si>
    <t>Column36</t>
  </si>
  <si>
    <t>Column37</t>
  </si>
  <si>
    <t>Column38</t>
  </si>
  <si>
    <t>Column39</t>
  </si>
  <si>
    <t>Column40</t>
  </si>
  <si>
    <t>Column41</t>
  </si>
  <si>
    <t>Column42</t>
  </si>
  <si>
    <t>Column43</t>
  </si>
  <si>
    <t>Column44</t>
  </si>
  <si>
    <t>Column45</t>
  </si>
  <si>
    <t>Column46</t>
  </si>
  <si>
    <t>Column47</t>
  </si>
  <si>
    <t>Column48</t>
  </si>
  <si>
    <t>Column49</t>
  </si>
  <si>
    <t>Column50</t>
  </si>
  <si>
    <t>Column51</t>
  </si>
  <si>
    <t>Column52</t>
  </si>
  <si>
    <t>Column53</t>
  </si>
  <si>
    <t>Column54</t>
  </si>
  <si>
    <t>Column55</t>
  </si>
  <si>
    <t>Column56</t>
  </si>
  <si>
    <t>Column57</t>
  </si>
  <si>
    <t>Column58</t>
  </si>
  <si>
    <t>Column59</t>
  </si>
  <si>
    <t>Column60</t>
  </si>
  <si>
    <t>Column61</t>
  </si>
  <si>
    <t>Column62</t>
  </si>
  <si>
    <t>Column63</t>
  </si>
  <si>
    <t>Column64</t>
  </si>
  <si>
    <t>Column65</t>
  </si>
  <si>
    <t>Column66</t>
  </si>
  <si>
    <t>Column67</t>
  </si>
  <si>
    <t>Column68</t>
  </si>
  <si>
    <t>Column69</t>
  </si>
  <si>
    <t>Column70</t>
  </si>
  <si>
    <t>Column71</t>
  </si>
  <si>
    <t>Column72</t>
  </si>
  <si>
    <t>Column73</t>
  </si>
  <si>
    <t>Column74</t>
  </si>
  <si>
    <t>Column75</t>
  </si>
  <si>
    <t>Column76</t>
  </si>
  <si>
    <t>Column77</t>
  </si>
  <si>
    <t>Column78</t>
  </si>
  <si>
    <t>Column79</t>
  </si>
  <si>
    <t>Column80</t>
  </si>
  <si>
    <t>Column81</t>
  </si>
  <si>
    <t>Column82</t>
  </si>
  <si>
    <t>Column83</t>
  </si>
  <si>
    <t>Column84</t>
  </si>
  <si>
    <t>Column85</t>
  </si>
  <si>
    <t>Column86</t>
  </si>
  <si>
    <t>Column87</t>
  </si>
  <si>
    <t>Column88</t>
  </si>
  <si>
    <t>Column89</t>
  </si>
  <si>
    <t>Column90</t>
  </si>
  <si>
    <t>Column91</t>
  </si>
  <si>
    <t>Column92</t>
  </si>
  <si>
    <t>Column93</t>
  </si>
  <si>
    <t>Column94</t>
  </si>
  <si>
    <t>Column95</t>
  </si>
  <si>
    <t>Column96</t>
  </si>
  <si>
    <t>Column97</t>
  </si>
  <si>
    <t>Column98</t>
  </si>
  <si>
    <t>Column99</t>
  </si>
  <si>
    <t>Column100</t>
  </si>
  <si>
    <t>Column101</t>
  </si>
  <si>
    <t>Column102</t>
  </si>
  <si>
    <t>Column103</t>
  </si>
  <si>
    <t>Column104</t>
  </si>
  <si>
    <t>Column105</t>
  </si>
  <si>
    <t>Column106</t>
  </si>
  <si>
    <t>Column107</t>
  </si>
  <si>
    <t>Column108</t>
  </si>
  <si>
    <t>Column109</t>
  </si>
  <si>
    <t>Column110</t>
  </si>
  <si>
    <t>Column111</t>
  </si>
  <si>
    <t>Column112</t>
  </si>
  <si>
    <t>Column113</t>
  </si>
  <si>
    <t>Column114</t>
  </si>
  <si>
    <t>Column115</t>
  </si>
  <si>
    <t>Column116</t>
  </si>
  <si>
    <t>Column117</t>
  </si>
  <si>
    <t>Column118</t>
  </si>
  <si>
    <t>Column119</t>
  </si>
  <si>
    <t>Column120</t>
  </si>
  <si>
    <t>Column121</t>
  </si>
  <si>
    <t>Column122</t>
  </si>
  <si>
    <t>Column123</t>
  </si>
  <si>
    <t>Column124</t>
  </si>
  <si>
    <t>Column125</t>
  </si>
  <si>
    <t>Column126</t>
  </si>
  <si>
    <t>Column127</t>
  </si>
  <si>
    <t>Column128</t>
  </si>
  <si>
    <t>Column129</t>
  </si>
  <si>
    <t>Column130</t>
  </si>
  <si>
    <t>Column131</t>
  </si>
  <si>
    <t>Column132</t>
  </si>
  <si>
    <t>Column133</t>
  </si>
  <si>
    <t>Column134</t>
  </si>
  <si>
    <t>Column135</t>
  </si>
  <si>
    <t>Column136</t>
  </si>
  <si>
    <t>Column137</t>
  </si>
  <si>
    <t>Column138</t>
  </si>
  <si>
    <t>Column139</t>
  </si>
  <si>
    <t>Column140</t>
  </si>
  <si>
    <t>Column141</t>
  </si>
  <si>
    <t>Column142</t>
  </si>
  <si>
    <t>Column143</t>
  </si>
  <si>
    <t>Column144</t>
  </si>
  <si>
    <t>Column145</t>
  </si>
  <si>
    <t>Column146</t>
  </si>
  <si>
    <t>Column147</t>
  </si>
  <si>
    <t>Column148</t>
  </si>
  <si>
    <t>Column149</t>
  </si>
  <si>
    <t>Column150</t>
  </si>
  <si>
    <t>Column151</t>
  </si>
  <si>
    <t>Column152</t>
  </si>
  <si>
    <t>Column153</t>
  </si>
  <si>
    <t>Column154</t>
  </si>
  <si>
    <t>Column155</t>
  </si>
  <si>
    <t>Column156</t>
  </si>
  <si>
    <t>Column157</t>
  </si>
  <si>
    <t>Column158</t>
  </si>
  <si>
    <t>Column159</t>
  </si>
  <si>
    <t>Column160</t>
  </si>
  <si>
    <t>Column161</t>
  </si>
  <si>
    <t>Column162</t>
  </si>
  <si>
    <t>Column163</t>
  </si>
  <si>
    <t>Column164</t>
  </si>
  <si>
    <t>Column165</t>
  </si>
  <si>
    <t>Column166</t>
  </si>
  <si>
    <t>Column167</t>
  </si>
  <si>
    <t>Column168</t>
  </si>
  <si>
    <t>Column169</t>
  </si>
  <si>
    <t>Column170</t>
  </si>
  <si>
    <t>Column171</t>
  </si>
  <si>
    <t>Column172</t>
  </si>
  <si>
    <t>Column173</t>
  </si>
  <si>
    <t>Column174</t>
  </si>
  <si>
    <t>Column175</t>
  </si>
  <si>
    <t>Column176</t>
  </si>
  <si>
    <t>Column177</t>
  </si>
  <si>
    <t>Column178</t>
  </si>
  <si>
    <t>Column179</t>
  </si>
  <si>
    <t>Column180</t>
  </si>
  <si>
    <t>Column181</t>
  </si>
  <si>
    <t>Column182</t>
  </si>
  <si>
    <t>Column183</t>
  </si>
  <si>
    <t>Column184</t>
  </si>
  <si>
    <t>Column185</t>
  </si>
  <si>
    <t>Column186</t>
  </si>
  <si>
    <t>Column187</t>
  </si>
  <si>
    <t>Column188</t>
  </si>
  <si>
    <t>Column189</t>
  </si>
  <si>
    <t>Column190</t>
  </si>
  <si>
    <t>Column191</t>
  </si>
  <si>
    <t>Column192</t>
  </si>
  <si>
    <t>Column193</t>
  </si>
  <si>
    <t>Column194</t>
  </si>
  <si>
    <t>S1 &amp; S2 
Impairment (£ mn)</t>
  </si>
  <si>
    <t>S1 &amp; S2 
Exposure (£ mn)</t>
  </si>
  <si>
    <t>HSBC 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</si>
</sst>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0.0%"/>
    <numFmt numFmtId="165" formatCode="#,##0.000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indexed="8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1"/>
      <color theme="4" tint="-0.249977111117893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name val="Calibri"/>
      <family val="2"/>
      <scheme val="minor"/>
    </font>
    <font>
      <sz val="11"/>
      <color theme="8"/>
      <name val="Calibri"/>
      <family val="2"/>
      <scheme val="minor"/>
    </font>
    <font>
      <sz val="11"/>
      <color rgb="FF7030A0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96">
    <xf numFmtId="0" fontId="0" fillId="0" borderId="0" xfId="0"/>
    <xf numFmtId="0" fontId="3" fillId="0" borderId="1" xfId="0" applyFont="1" applyBorder="1"/>
    <xf numFmtId="3" fontId="4" fillId="0" borderId="1" xfId="0" applyNumberFormat="1" applyFont="1" applyBorder="1" applyAlignment="1">
      <alignment horizontal="left" vertical="center"/>
    </xf>
    <xf numFmtId="3" fontId="3" fillId="0" borderId="1" xfId="0" applyNumberFormat="1" applyFont="1" applyBorder="1" applyAlignment="1">
      <alignment horizontal="right" vertical="center"/>
    </xf>
    <xf numFmtId="3" fontId="3" fillId="0" borderId="1" xfId="0" applyNumberFormat="1" applyFont="1" applyBorder="1" applyAlignment="1">
      <alignment vertical="center"/>
    </xf>
    <xf numFmtId="3" fontId="0" fillId="0" borderId="1" xfId="0" applyNumberFormat="1" applyBorder="1" applyAlignment="1">
      <alignment vertical="center"/>
    </xf>
    <xf numFmtId="3" fontId="0" fillId="0" borderId="1" xfId="0" applyNumberFormat="1" applyBorder="1" applyAlignment="1">
      <alignment horizontal="right" vertical="center"/>
    </xf>
    <xf numFmtId="164" fontId="0" fillId="0" borderId="1" xfId="0" applyNumberFormat="1" applyBorder="1" applyAlignment="1">
      <alignment vertical="center"/>
    </xf>
    <xf numFmtId="0" fontId="0" fillId="0" borderId="1" xfId="0" applyBorder="1"/>
    <xf numFmtId="3" fontId="0" fillId="0" borderId="1" xfId="0" applyNumberFormat="1" applyBorder="1"/>
    <xf numFmtId="0" fontId="0" fillId="2" borderId="0" xfId="0" applyFill="1"/>
    <xf numFmtId="0" fontId="2" fillId="2" borderId="1" xfId="0" applyFont="1" applyFill="1" applyBorder="1" applyAlignment="1">
      <alignment horizontal="centerContinuous"/>
    </xf>
    <xf numFmtId="0" fontId="0" fillId="0" borderId="0" xfId="0" applyAlignment="1">
      <alignment horizontal="left"/>
    </xf>
    <xf numFmtId="164" fontId="2" fillId="2" borderId="1" xfId="0" applyNumberFormat="1" applyFont="1" applyFill="1" applyBorder="1" applyAlignment="1">
      <alignment horizontal="centerContinuous"/>
    </xf>
    <xf numFmtId="3" fontId="2" fillId="2" borderId="1" xfId="0" applyNumberFormat="1" applyFont="1" applyFill="1" applyBorder="1" applyAlignment="1">
      <alignment horizontal="centerContinuous"/>
    </xf>
    <xf numFmtId="0" fontId="0" fillId="0" borderId="2" xfId="0" applyBorder="1" applyAlignment="1">
      <alignment horizontal="centerContinuous"/>
    </xf>
    <xf numFmtId="0" fontId="0" fillId="0" borderId="0" xfId="0" applyAlignment="1">
      <alignment horizontal="right"/>
    </xf>
    <xf numFmtId="3" fontId="0" fillId="0" borderId="2" xfId="0" applyNumberFormat="1" applyBorder="1" applyAlignment="1">
      <alignment horizontal="centerContinuous" vertical="center"/>
    </xf>
    <xf numFmtId="164" fontId="0" fillId="0" borderId="2" xfId="0" applyNumberFormat="1" applyBorder="1" applyAlignment="1">
      <alignment horizontal="centerContinuous"/>
    </xf>
    <xf numFmtId="3" fontId="0" fillId="0" borderId="2" xfId="0" applyNumberFormat="1" applyBorder="1" applyAlignment="1">
      <alignment horizontal="centerContinuous"/>
    </xf>
    <xf numFmtId="0" fontId="0" fillId="0" borderId="1" xfId="0" applyBorder="1" applyAlignment="1">
      <alignment horizontal="right"/>
    </xf>
    <xf numFmtId="164" fontId="0" fillId="0" borderId="1" xfId="0" applyNumberFormat="1" applyBorder="1" applyAlignment="1">
      <alignment horizontal="right"/>
    </xf>
    <xf numFmtId="3" fontId="0" fillId="0" borderId="0" xfId="0" applyNumberFormat="1" applyAlignment="1">
      <alignment horizontal="right"/>
    </xf>
    <xf numFmtId="0" fontId="0" fillId="0" borderId="0" xfId="0" applyAlignment="1">
      <alignment vertical="center"/>
    </xf>
    <xf numFmtId="3" fontId="0" fillId="0" borderId="0" xfId="0" applyNumberFormat="1" applyAlignment="1">
      <alignment horizontal="right" vertical="center"/>
    </xf>
    <xf numFmtId="3" fontId="0" fillId="0" borderId="0" xfId="0" applyNumberFormat="1" applyAlignment="1">
      <alignment vertical="center" wrapText="1"/>
    </xf>
    <xf numFmtId="3" fontId="6" fillId="0" borderId="0" xfId="0" applyNumberFormat="1" applyFont="1" applyAlignment="1">
      <alignment horizontal="right" vertical="center" wrapText="1"/>
    </xf>
    <xf numFmtId="9" fontId="7" fillId="0" borderId="0" xfId="0" applyNumberFormat="1" applyFont="1" applyAlignment="1">
      <alignment horizontal="right" vertical="center" wrapText="1"/>
    </xf>
    <xf numFmtId="10" fontId="7" fillId="0" borderId="0" xfId="0" applyNumberFormat="1" applyFont="1" applyAlignment="1">
      <alignment horizontal="right" vertical="center" wrapText="1"/>
    </xf>
    <xf numFmtId="164" fontId="0" fillId="0" borderId="0" xfId="0" applyNumberFormat="1" applyAlignment="1">
      <alignment horizontal="right" vertical="center" wrapText="1"/>
    </xf>
    <xf numFmtId="10" fontId="0" fillId="0" borderId="0" xfId="0" applyNumberFormat="1" applyAlignment="1">
      <alignment horizontal="right" vertical="center"/>
    </xf>
    <xf numFmtId="164" fontId="0" fillId="0" borderId="0" xfId="0" applyNumberFormat="1" applyAlignment="1">
      <alignment horizontal="right" vertical="center"/>
    </xf>
    <xf numFmtId="3" fontId="0" fillId="0" borderId="0" xfId="0" applyNumberFormat="1"/>
    <xf numFmtId="10" fontId="0" fillId="0" borderId="0" xfId="0" applyNumberFormat="1" applyAlignment="1">
      <alignment horizontal="right"/>
    </xf>
    <xf numFmtId="3" fontId="2" fillId="0" borderId="0" xfId="0" applyNumberFormat="1" applyFont="1" applyAlignment="1">
      <alignment horizontal="right" vertical="center"/>
    </xf>
    <xf numFmtId="0" fontId="7" fillId="0" borderId="0" xfId="0" applyFont="1" applyAlignment="1">
      <alignment vertical="center"/>
    </xf>
    <xf numFmtId="3" fontId="7" fillId="0" borderId="0" xfId="0" applyNumberFormat="1" applyFont="1" applyAlignment="1">
      <alignment horizontal="right" vertical="center"/>
    </xf>
    <xf numFmtId="3" fontId="7" fillId="0" borderId="0" xfId="0" applyNumberFormat="1" applyFont="1" applyAlignment="1">
      <alignment vertical="center" wrapText="1"/>
    </xf>
    <xf numFmtId="164" fontId="7" fillId="0" borderId="0" xfId="0" applyNumberFormat="1" applyFont="1" applyAlignment="1">
      <alignment horizontal="right" vertical="center" wrapText="1"/>
    </xf>
    <xf numFmtId="10" fontId="7" fillId="0" borderId="0" xfId="0" applyNumberFormat="1" applyFont="1" applyAlignment="1">
      <alignment horizontal="right" vertical="center"/>
    </xf>
    <xf numFmtId="164" fontId="7" fillId="0" borderId="0" xfId="0" applyNumberFormat="1" applyFont="1" applyAlignment="1">
      <alignment horizontal="right" vertical="center"/>
    </xf>
    <xf numFmtId="0" fontId="7" fillId="0" borderId="0" xfId="0" applyFont="1"/>
    <xf numFmtId="10" fontId="7" fillId="0" borderId="0" xfId="0" applyNumberFormat="1" applyFont="1" applyAlignment="1">
      <alignment horizontal="right"/>
    </xf>
    <xf numFmtId="3" fontId="0" fillId="0" borderId="0" xfId="0" applyNumberFormat="1" applyAlignment="1">
      <alignment vertical="center"/>
    </xf>
    <xf numFmtId="164" fontId="0" fillId="0" borderId="0" xfId="0" applyNumberFormat="1" applyAlignment="1">
      <alignment vertical="center"/>
    </xf>
    <xf numFmtId="4" fontId="0" fillId="0" borderId="0" xfId="0" applyNumberFormat="1" applyAlignment="1">
      <alignment vertical="center"/>
    </xf>
    <xf numFmtId="3" fontId="9" fillId="0" borderId="0" xfId="0" quotePrefix="1" applyNumberFormat="1" applyFont="1" applyAlignment="1">
      <alignment horizontal="right"/>
    </xf>
    <xf numFmtId="3" fontId="9" fillId="0" borderId="0" xfId="0" applyNumberFormat="1" applyFont="1" applyAlignment="1">
      <alignment horizontal="right"/>
    </xf>
    <xf numFmtId="3" fontId="7" fillId="0" borderId="0" xfId="0" applyNumberFormat="1" applyFont="1" applyAlignment="1">
      <alignment horizontal="right"/>
    </xf>
    <xf numFmtId="0" fontId="0" fillId="0" borderId="0" xfId="0" quotePrefix="1" applyAlignment="1">
      <alignment horizontal="right"/>
    </xf>
    <xf numFmtId="3" fontId="6" fillId="0" borderId="0" xfId="0" applyNumberFormat="1" applyFont="1" applyAlignment="1">
      <alignment horizontal="right"/>
    </xf>
    <xf numFmtId="0" fontId="0" fillId="3" borderId="0" xfId="0" applyFill="1" applyAlignment="1">
      <alignment vertical="center"/>
    </xf>
    <xf numFmtId="3" fontId="0" fillId="3" borderId="0" xfId="0" applyNumberFormat="1" applyFill="1" applyAlignment="1">
      <alignment horizontal="right" vertical="center"/>
    </xf>
    <xf numFmtId="3" fontId="5" fillId="3" borderId="0" xfId="0" applyNumberFormat="1" applyFont="1" applyFill="1" applyAlignment="1">
      <alignment vertical="center" wrapText="1"/>
    </xf>
    <xf numFmtId="165" fontId="5" fillId="3" borderId="0" xfId="0" applyNumberFormat="1" applyFont="1" applyFill="1" applyAlignment="1">
      <alignment vertical="center" wrapText="1"/>
    </xf>
    <xf numFmtId="0" fontId="0" fillId="3" borderId="0" xfId="0" applyFill="1"/>
    <xf numFmtId="3" fontId="0" fillId="3" borderId="0" xfId="0" applyNumberFormat="1" applyFill="1" applyAlignment="1">
      <alignment horizontal="right" vertical="center" wrapText="1"/>
    </xf>
    <xf numFmtId="165" fontId="0" fillId="3" borderId="0" xfId="0" applyNumberFormat="1" applyFill="1" applyAlignment="1">
      <alignment horizontal="right" vertical="center" wrapText="1"/>
    </xf>
    <xf numFmtId="165" fontId="0" fillId="3" borderId="0" xfId="0" applyNumberFormat="1" applyFill="1" applyAlignment="1">
      <alignment vertical="center" wrapText="1"/>
    </xf>
    <xf numFmtId="3" fontId="0" fillId="3" borderId="0" xfId="0" applyNumberFormat="1" applyFill="1" applyAlignment="1">
      <alignment vertical="center" wrapText="1"/>
    </xf>
    <xf numFmtId="3" fontId="5" fillId="3" borderId="0" xfId="0" applyNumberFormat="1" applyFont="1" applyFill="1" applyAlignment="1">
      <alignment horizontal="right" vertical="center" wrapText="1"/>
    </xf>
    <xf numFmtId="4" fontId="0" fillId="3" borderId="0" xfId="0" applyNumberFormat="1" applyFill="1" applyAlignment="1">
      <alignment vertical="center" wrapText="1"/>
    </xf>
    <xf numFmtId="4" fontId="5" fillId="3" borderId="0" xfId="0" applyNumberFormat="1" applyFont="1" applyFill="1" applyAlignment="1">
      <alignment vertical="center" wrapText="1"/>
    </xf>
    <xf numFmtId="9" fontId="7" fillId="3" borderId="0" xfId="0" applyNumberFormat="1" applyFont="1" applyFill="1" applyAlignment="1">
      <alignment horizontal="right" vertical="center" wrapText="1"/>
    </xf>
    <xf numFmtId="10" fontId="7" fillId="3" borderId="0" xfId="0" applyNumberFormat="1" applyFont="1" applyFill="1" applyAlignment="1">
      <alignment horizontal="right" vertical="center" wrapText="1"/>
    </xf>
    <xf numFmtId="164" fontId="0" fillId="3" borderId="0" xfId="0" applyNumberFormat="1" applyFill="1" applyAlignment="1">
      <alignment horizontal="right" vertical="center" wrapText="1"/>
    </xf>
    <xf numFmtId="10" fontId="0" fillId="3" borderId="0" xfId="0" applyNumberFormat="1" applyFill="1" applyAlignment="1">
      <alignment horizontal="right" vertical="center"/>
    </xf>
    <xf numFmtId="164" fontId="0" fillId="3" borderId="0" xfId="0" applyNumberFormat="1" applyFill="1" applyAlignment="1">
      <alignment horizontal="right" vertical="center"/>
    </xf>
    <xf numFmtId="3" fontId="0" fillId="3" borderId="0" xfId="0" applyNumberFormat="1" applyFill="1"/>
    <xf numFmtId="10" fontId="0" fillId="3" borderId="0" xfId="0" applyNumberFormat="1" applyFill="1" applyAlignment="1">
      <alignment horizontal="right"/>
    </xf>
    <xf numFmtId="3" fontId="8" fillId="3" borderId="0" xfId="0" applyNumberFormat="1" applyFont="1" applyFill="1" applyAlignment="1">
      <alignment horizontal="right"/>
    </xf>
    <xf numFmtId="9" fontId="0" fillId="3" borderId="0" xfId="0" applyNumberFormat="1" applyFill="1"/>
    <xf numFmtId="4" fontId="6" fillId="3" borderId="0" xfId="0" applyNumberFormat="1" applyFont="1" applyFill="1" applyAlignment="1">
      <alignment horizontal="right" vertical="center" wrapText="1"/>
    </xf>
    <xf numFmtId="43" fontId="6" fillId="3" borderId="0" xfId="1" applyFont="1" applyFill="1" applyAlignment="1">
      <alignment horizontal="right" vertical="center" wrapText="1"/>
    </xf>
    <xf numFmtId="43" fontId="6" fillId="3" borderId="0" xfId="0" applyNumberFormat="1" applyFont="1" applyFill="1" applyAlignment="1">
      <alignment horizontal="right" vertical="center" wrapText="1"/>
    </xf>
    <xf numFmtId="165" fontId="0" fillId="0" borderId="0" xfId="0" applyNumberFormat="1" applyAlignment="1">
      <alignment vertical="center" wrapText="1"/>
    </xf>
    <xf numFmtId="4" fontId="6" fillId="3" borderId="0" xfId="1" applyNumberFormat="1" applyFont="1" applyFill="1" applyAlignment="1">
      <alignment horizontal="right" vertical="center" wrapText="1"/>
    </xf>
    <xf numFmtId="3" fontId="6" fillId="3" borderId="0" xfId="0" applyNumberFormat="1" applyFont="1" applyFill="1" applyAlignment="1">
      <alignment horizontal="right" vertical="center" wrapText="1"/>
    </xf>
    <xf numFmtId="165" fontId="6" fillId="3" borderId="0" xfId="0" applyNumberFormat="1" applyFont="1" applyFill="1" applyAlignment="1">
      <alignment horizontal="right" vertical="center" wrapText="1"/>
    </xf>
    <xf numFmtId="3" fontId="0" fillId="3" borderId="0" xfId="0" applyNumberFormat="1" applyFill="1" applyAlignment="1">
      <alignment horizontal="right"/>
    </xf>
    <xf numFmtId="0" fontId="3" fillId="0" borderId="0" xfId="0" applyFont="1" applyBorder="1"/>
    <xf numFmtId="3" fontId="4" fillId="0" borderId="0" xfId="0" applyNumberFormat="1" applyFont="1" applyBorder="1" applyAlignment="1">
      <alignment horizontal="left" vertical="center"/>
    </xf>
    <xf numFmtId="3" fontId="3" fillId="0" borderId="0" xfId="0" applyNumberFormat="1" applyFont="1" applyBorder="1" applyAlignment="1">
      <alignment horizontal="right" vertical="center"/>
    </xf>
    <xf numFmtId="3" fontId="3" fillId="0" borderId="0" xfId="0" applyNumberFormat="1" applyFont="1" applyBorder="1" applyAlignment="1">
      <alignment vertical="center"/>
    </xf>
    <xf numFmtId="3" fontId="0" fillId="0" borderId="0" xfId="0" applyNumberFormat="1" applyBorder="1" applyAlignment="1">
      <alignment vertical="center"/>
    </xf>
    <xf numFmtId="3" fontId="0" fillId="0" borderId="0" xfId="0" applyNumberFormat="1" applyBorder="1" applyAlignment="1">
      <alignment horizontal="right" vertical="center"/>
    </xf>
    <xf numFmtId="164" fontId="0" fillId="0" borderId="0" xfId="0" applyNumberFormat="1" applyBorder="1" applyAlignment="1">
      <alignment vertical="center"/>
    </xf>
    <xf numFmtId="0" fontId="0" fillId="0" borderId="0" xfId="0" applyBorder="1"/>
    <xf numFmtId="3" fontId="0" fillId="0" borderId="0" xfId="0" applyNumberFormat="1" applyBorder="1"/>
    <xf numFmtId="0" fontId="2" fillId="0" borderId="1" xfId="0" applyFont="1" applyBorder="1" applyAlignment="1">
      <alignment horizontal="centerContinuous"/>
    </xf>
    <xf numFmtId="0" fontId="2" fillId="2" borderId="0" xfId="0" applyFont="1" applyFill="1" applyAlignment="1">
      <alignment horizontal="centerContinuous"/>
    </xf>
    <xf numFmtId="0" fontId="0" fillId="0" borderId="4" xfId="0" applyBorder="1" applyAlignment="1">
      <alignment horizontal="centerContinuous"/>
    </xf>
    <xf numFmtId="0" fontId="0" fillId="4" borderId="3" xfId="0" applyFill="1" applyBorder="1" applyAlignment="1">
      <alignment horizontal="center" vertical="center" wrapText="1"/>
    </xf>
    <xf numFmtId="0" fontId="0" fillId="4" borderId="6" xfId="0" applyFill="1" applyBorder="1" applyAlignment="1">
      <alignment horizontal="center" vertical="center" wrapText="1"/>
    </xf>
    <xf numFmtId="0" fontId="0" fillId="0" borderId="5" xfId="0" applyBorder="1" applyAlignment="1">
      <alignment horizontal="center" wrapText="1"/>
    </xf>
    <xf numFmtId="0" fontId="0" fillId="0" borderId="2" xfId="0" applyBorder="1" applyAlignment="1">
      <alignment horizont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Kang, Joon" id="{CD377396-2A10-4C06-B2EE-887F98E357D7}" userId="S::jhkang@deloitte.co.uk::6c624cf6-afcd-46a3-9af6-f55db3455c14" providerId="AD"/>
</personList>
</file>

<file path=xl/theme/theme1.xml><?xml version="1.0" encoding="utf-8"?>
<a:theme xmlns:a="http://schemas.openxmlformats.org/drawingml/2006/main" name="DeloitteColors">
  <a:themeElements>
    <a:clrScheme name="Deloitt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86BC25"/>
      </a:accent1>
      <a:accent2>
        <a:srgbClr val="046A38"/>
      </a:accent2>
      <a:accent3>
        <a:srgbClr val="62B5E5"/>
      </a:accent3>
      <a:accent4>
        <a:srgbClr val="012169"/>
      </a:accent4>
      <a:accent5>
        <a:srgbClr val="0097A9"/>
      </a:accent5>
      <a:accent6>
        <a:srgbClr val="75787B"/>
      </a:accent6>
      <a:hlink>
        <a:srgbClr val="00A3E0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S8" dT="2021-02-26T12:36:56.43" personId="{CD377396-2A10-4C06-B2EE-887F98E357D7}" id="{F1FDEF5F-B42F-4588-AE33-2C26A337C51A}">
    <text>Annual report 2020, Page 167</text>
  </threadedComment>
  <threadedComment ref="V8" dT="2021-02-26T12:37:14.21" personId="{CD377396-2A10-4C06-B2EE-887F98E357D7}" id="{CAB20ADF-2B69-4A78-9BC6-C8B1044B477E}">
    <text>Annual report 2020 Page 171</text>
  </threadedComment>
  <threadedComment ref="AA8" dT="2021-02-26T12:41:31.68" personId="{CD377396-2A10-4C06-B2EE-887F98E357D7}" id="{A70A0775-98D3-4C86-AEAA-707F43D3BA25}">
    <text>Annual report Page 167:
Credit cards + Loans and overdrafts + UK Motor + Other</text>
  </threadedComment>
  <threadedComment ref="AQ10" dT="2021-02-26T15:25:50.57" personId="{CD377396-2A10-4C06-B2EE-887F98E357D7}" id="{5CB8F221-F09C-4448-A6F4-6645E5FFBD25}">
    <text>FI + Sovereign</text>
  </threadedComment>
  <threadedComment ref="S11" dT="2021-02-26T15:47:25.94" personId="{CD377396-2A10-4C06-B2EE-887F98E357D7}" id="{AE0D55AC-71F0-4744-B47B-B6D2A53A8AFD}">
    <text>Annual report Page 217</text>
  </threadedComment>
  <threadedComment ref="AA11" dT="2021-02-26T15:39:04.95" personId="{CD377396-2A10-4C06-B2EE-887F98E357D7}" id="{C6FF3BF4-B5D5-4BB1-83F4-32D9E6E152CE}">
    <text>Annual report 2020, Page 193:
Retail Banking + Private Banking</text>
  </threadedComment>
  <threadedComment ref="AQ11" dT="2021-02-26T15:42:49.23" personId="{CD377396-2A10-4C06-B2EE-887F98E357D7}" id="{3D9F3BA1-3878-4BB7-B139-8FBD5453F3DC}">
    <text>Annual report 2020, Page 193:
Banks + Corp&amp;Ind Bank + Cent&amp;Other Bank</text>
  </threadedComment>
  <threadedComment ref="AY11" dT="2021-02-26T15:59:25.65" personId="{CD377396-2A10-4C06-B2EE-887F98E357D7}" id="{F5F0992F-E279-4477-8807-3142CFFA326B}">
    <text>Other assets @ amortised cost, per PDF page 190:
1) Debt securities @ AC
2) Accrued Inc @ AC</text>
  </threadedComment>
  <threadedComment ref="CQ11" dT="2021-02-26T15:55:54.99" personId="{CD377396-2A10-4C06-B2EE-887F98E357D7}" id="{D0802A42-1040-4F13-990F-1FA26EE8D6A0}">
    <text>L&amp;A to (PDF p.193)
1) Banks;
2) Corp/Instit Banking
3) Central &amp; Other
4) Undrawn Commitments
5) Fin Guarantees</text>
  </threadedComment>
  <threadedComment ref="CQ11" dT="2021-02-26T15:56:32.51" personId="{CD377396-2A10-4C06-B2EE-887F98E357D7}" id="{8C3F62EA-0DBE-4ED9-BABF-7DA0CB322C39}" parentId="{D0802A42-1040-4F13-990F-1FA26EE8D6A0}">
    <text>But this is not in line with the asset groupping?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8B5434-CB22-4D56-8007-15D8DC961B3D}">
  <dimension ref="A1:GO21"/>
  <sheetViews>
    <sheetView tabSelected="1" workbookViewId="0">
      <pane xSplit="2" ySplit="6" topLeftCell="C7" activePane="bottomRight" state="frozen"/>
      <selection pane="topRight" activeCell="C1" sqref="C1"/>
      <selection pane="bottomLeft" activeCell="A6" sqref="A6"/>
      <selection pane="bottomRight" activeCell="A10" sqref="A10"/>
    </sheetView>
  </sheetViews>
  <sheetFormatPr defaultColWidth="8.7109375" defaultRowHeight="15" x14ac:dyDescent="0.25"/>
  <cols>
    <col min="1" max="1" width="36.7109375" customWidth="1"/>
    <col min="2" max="2" width="1.5703125" customWidth="1"/>
    <col min="3" max="9" width="8.5703125" style="24" customWidth="1"/>
    <col min="10" max="10" width="1.5703125" style="24" customWidth="1"/>
    <col min="11" max="17" width="8.5703125" style="24" customWidth="1"/>
    <col min="18" max="18" width="1.5703125" style="24" customWidth="1"/>
    <col min="19" max="25" width="8.5703125" style="43" customWidth="1"/>
    <col min="26" max="26" width="1.5703125" style="43" customWidth="1"/>
    <col min="27" max="33" width="8.5703125" style="43" customWidth="1"/>
    <col min="34" max="34" width="1.5703125" style="43" customWidth="1"/>
    <col min="35" max="41" width="8.5703125" style="43" customWidth="1"/>
    <col min="42" max="42" width="1.5703125" style="43" customWidth="1"/>
    <col min="43" max="49" width="8.5703125" style="43" customWidth="1"/>
    <col min="50" max="50" width="1.5703125" style="43" customWidth="1"/>
    <col min="51" max="57" width="8.5703125" style="43" customWidth="1"/>
    <col min="58" max="58" width="1.5703125" style="43" customWidth="1"/>
    <col min="59" max="62" width="8.5703125" style="43" customWidth="1"/>
    <col min="63" max="63" width="8.5703125" style="24" customWidth="1"/>
    <col min="64" max="64" width="1.5703125" style="24" customWidth="1"/>
    <col min="65" max="68" width="8.5703125" style="43" customWidth="1"/>
    <col min="69" max="69" width="11.42578125" style="24" bestFit="1" customWidth="1"/>
    <col min="70" max="70" width="1.5703125" style="24" customWidth="1"/>
    <col min="71" max="72" width="8.5703125" style="43" customWidth="1"/>
    <col min="73" max="74" width="8.5703125" style="24" customWidth="1"/>
    <col min="75" max="77" width="8.5703125" style="43" customWidth="1"/>
    <col min="78" max="78" width="1.5703125" style="43" customWidth="1"/>
    <col min="79" max="85" width="8.5703125" style="43" customWidth="1"/>
    <col min="86" max="86" width="1.5703125" style="43" customWidth="1"/>
    <col min="87" max="93" width="8.5703125" style="43" customWidth="1"/>
    <col min="94" max="94" width="1.5703125" style="43" customWidth="1"/>
    <col min="95" max="101" width="8.5703125" style="43" customWidth="1"/>
    <col min="102" max="102" width="1.5703125" style="43" customWidth="1"/>
    <col min="103" max="109" width="8.5703125" style="43" customWidth="1"/>
    <col min="110" max="110" width="1.5703125" style="43" customWidth="1"/>
    <col min="111" max="114" width="8.5703125" style="43" customWidth="1"/>
    <col min="115" max="115" width="1.5703125" style="43" customWidth="1"/>
    <col min="116" max="119" width="8.5703125" style="43" customWidth="1"/>
    <col min="120" max="120" width="1.5703125" style="43" customWidth="1"/>
    <col min="121" max="124" width="8.5703125" style="43" customWidth="1"/>
    <col min="125" max="125" width="1.5703125" style="43" customWidth="1"/>
    <col min="126" max="129" width="8.5703125" style="43" customWidth="1"/>
    <col min="130" max="130" width="1.5703125" style="43" customWidth="1"/>
    <col min="131" max="134" width="8.5703125" style="43" customWidth="1"/>
    <col min="135" max="135" width="1.5703125" style="43" customWidth="1"/>
    <col min="136" max="140" width="8.5703125" style="43" customWidth="1"/>
    <col min="141" max="141" width="1.5703125" style="43" customWidth="1"/>
    <col min="142" max="146" width="8.5703125" style="24" customWidth="1"/>
    <col min="147" max="147" width="1.5703125" style="24" customWidth="1"/>
    <col min="148" max="152" width="8.5703125" style="43" customWidth="1"/>
    <col min="153" max="153" width="1.5703125" style="43" customWidth="1"/>
    <col min="154" max="154" width="8.5703125" style="43" customWidth="1"/>
    <col min="155" max="158" width="8.5703125" style="44" customWidth="1"/>
    <col min="159" max="159" width="1.5703125" style="43" customWidth="1"/>
    <col min="160" max="160" width="8.5703125" style="43" customWidth="1"/>
    <col min="161" max="164" width="8.5703125" style="44" customWidth="1"/>
    <col min="165" max="165" width="1.5703125" style="43" customWidth="1"/>
    <col min="166" max="166" width="8.5703125" style="43" customWidth="1"/>
    <col min="167" max="170" width="8.5703125" style="44" customWidth="1"/>
    <col min="171" max="171" width="1.5703125" customWidth="1"/>
    <col min="175" max="175" width="9.5703125" customWidth="1"/>
    <col min="176" max="176" width="11.7109375" style="32" customWidth="1"/>
    <col min="177" max="177" width="1.5703125" customWidth="1"/>
    <col min="181" max="181" width="11.5703125" customWidth="1"/>
    <col min="183" max="183" width="1.5703125" customWidth="1"/>
    <col min="189" max="189" width="1.5703125" customWidth="1"/>
  </cols>
  <sheetData>
    <row r="1" spans="1:197" ht="18.75" x14ac:dyDescent="0.3">
      <c r="A1" s="1" t="s">
        <v>0</v>
      </c>
      <c r="B1" s="1"/>
      <c r="C1" s="2"/>
      <c r="D1" s="3"/>
      <c r="E1" s="2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4"/>
      <c r="T1" s="4"/>
      <c r="U1" s="4"/>
      <c r="V1" s="4"/>
      <c r="W1" s="4"/>
      <c r="X1" s="4"/>
      <c r="Y1" s="4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6"/>
      <c r="BM1" s="5"/>
      <c r="BN1" s="5"/>
      <c r="BO1" s="5"/>
      <c r="BP1" s="5"/>
      <c r="BQ1" s="6"/>
      <c r="BR1" s="6"/>
      <c r="BS1" s="5"/>
      <c r="BT1" s="5"/>
      <c r="BU1" s="6"/>
      <c r="BV1" s="6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6"/>
      <c r="EM1" s="6"/>
      <c r="EN1" s="6"/>
      <c r="EO1" s="6"/>
      <c r="EP1" s="6"/>
      <c r="EQ1" s="6"/>
      <c r="ER1" s="5"/>
      <c r="ES1" s="5"/>
      <c r="ET1" s="5"/>
      <c r="EU1" s="5"/>
      <c r="EV1" s="5"/>
      <c r="EW1" s="5"/>
      <c r="EX1" s="5"/>
      <c r="EY1" s="7"/>
      <c r="EZ1" s="7"/>
      <c r="FA1" s="7"/>
      <c r="FB1" s="7"/>
      <c r="FC1" s="5"/>
      <c r="FD1" s="5"/>
      <c r="FE1" s="7"/>
      <c r="FF1" s="7"/>
      <c r="FG1" s="7"/>
      <c r="FH1" s="7"/>
      <c r="FI1" s="5"/>
      <c r="FJ1" s="5"/>
      <c r="FK1" s="7"/>
      <c r="FL1" s="7"/>
      <c r="FM1" s="7"/>
      <c r="FN1" s="7"/>
      <c r="FO1" s="8"/>
      <c r="FP1" s="8"/>
      <c r="FQ1" s="8"/>
      <c r="FR1" s="8"/>
      <c r="FS1" s="8"/>
      <c r="FT1" s="9"/>
      <c r="FU1" s="8"/>
      <c r="FV1" s="8"/>
      <c r="FW1" s="8"/>
      <c r="FX1" s="8"/>
      <c r="FY1" s="8"/>
      <c r="FZ1" s="8"/>
      <c r="GA1" s="8"/>
      <c r="GB1" s="8"/>
      <c r="GC1" s="8"/>
      <c r="GD1" s="8"/>
      <c r="GE1" s="8"/>
      <c r="GF1" s="8"/>
      <c r="GG1" s="8"/>
      <c r="GH1" s="8"/>
      <c r="GI1" s="8"/>
      <c r="GJ1" s="8"/>
      <c r="GK1" s="8"/>
      <c r="GL1" s="8"/>
    </row>
    <row r="2" spans="1:197" ht="18.75" x14ac:dyDescent="0.3">
      <c r="A2" s="80"/>
      <c r="B2" s="80"/>
      <c r="C2" s="81"/>
      <c r="D2" s="82"/>
      <c r="E2" s="81"/>
      <c r="F2" s="82"/>
      <c r="G2" s="82"/>
      <c r="H2" s="82"/>
      <c r="I2" s="82"/>
      <c r="J2" s="82"/>
      <c r="K2" s="82"/>
      <c r="L2" s="82"/>
      <c r="M2" s="82"/>
      <c r="N2" s="82"/>
      <c r="O2" s="82"/>
      <c r="P2" s="82"/>
      <c r="Q2" s="82"/>
      <c r="R2" s="82"/>
      <c r="S2" s="83"/>
      <c r="T2" s="83"/>
      <c r="U2" s="83"/>
      <c r="V2" s="83"/>
      <c r="W2" s="83"/>
      <c r="X2" s="83"/>
      <c r="Y2" s="83"/>
      <c r="Z2" s="84"/>
      <c r="AA2" s="84"/>
      <c r="AB2" s="84"/>
      <c r="AC2" s="84"/>
      <c r="AD2" s="84"/>
      <c r="AE2" s="84"/>
      <c r="AF2" s="84"/>
      <c r="AG2" s="84"/>
      <c r="AH2" s="84"/>
      <c r="AI2" s="84"/>
      <c r="AJ2" s="84"/>
      <c r="AK2" s="84"/>
      <c r="AL2" s="84"/>
      <c r="AM2" s="84"/>
      <c r="AN2" s="84"/>
      <c r="AO2" s="84"/>
      <c r="AP2" s="84"/>
      <c r="AQ2" s="84"/>
      <c r="AR2" s="84"/>
      <c r="AS2" s="84"/>
      <c r="AT2" s="84"/>
      <c r="AU2" s="84"/>
      <c r="AV2" s="84"/>
      <c r="AW2" s="84"/>
      <c r="AX2" s="84"/>
      <c r="AY2" s="84"/>
      <c r="AZ2" s="84"/>
      <c r="BA2" s="84"/>
      <c r="BB2" s="84"/>
      <c r="BC2" s="84"/>
      <c r="BD2" s="84"/>
      <c r="BE2" s="84"/>
      <c r="BF2" s="84"/>
      <c r="BG2" s="84"/>
      <c r="BH2" s="84"/>
      <c r="BI2" s="84"/>
      <c r="BJ2" s="84"/>
      <c r="BK2" s="84"/>
      <c r="BL2" s="85"/>
      <c r="BM2" s="84"/>
      <c r="BN2" s="84"/>
      <c r="BO2" s="84"/>
      <c r="BP2" s="84"/>
      <c r="BQ2" s="85"/>
      <c r="BR2" s="85"/>
      <c r="BS2" s="84"/>
      <c r="BT2" s="84"/>
      <c r="BU2" s="85"/>
      <c r="BV2" s="85"/>
      <c r="BW2" s="84"/>
      <c r="BX2" s="84"/>
      <c r="BY2" s="84"/>
      <c r="BZ2" s="84"/>
      <c r="CA2" s="84"/>
      <c r="CB2" s="84"/>
      <c r="CC2" s="84"/>
      <c r="CD2" s="84"/>
      <c r="CE2" s="84"/>
      <c r="CF2" s="84"/>
      <c r="CG2" s="84"/>
      <c r="CH2" s="84"/>
      <c r="CI2" s="84"/>
      <c r="CJ2" s="84"/>
      <c r="CK2" s="84"/>
      <c r="CL2" s="84"/>
      <c r="CM2" s="84"/>
      <c r="CN2" s="84"/>
      <c r="CO2" s="84"/>
      <c r="CP2" s="84"/>
      <c r="CQ2" s="84"/>
      <c r="CR2" s="84"/>
      <c r="CS2" s="84"/>
      <c r="CT2" s="84"/>
      <c r="CU2" s="84"/>
      <c r="CV2" s="84"/>
      <c r="CW2" s="84"/>
      <c r="CX2" s="84"/>
      <c r="CY2" s="84"/>
      <c r="CZ2" s="84"/>
      <c r="DA2" s="84"/>
      <c r="DB2" s="84"/>
      <c r="DC2" s="84"/>
      <c r="DD2" s="84"/>
      <c r="DE2" s="84"/>
      <c r="DF2" s="84"/>
      <c r="DG2" s="84"/>
      <c r="DH2" s="84"/>
      <c r="DI2" s="84"/>
      <c r="DJ2" s="84"/>
      <c r="DK2" s="84"/>
      <c r="DL2" s="84"/>
      <c r="DM2" s="84"/>
      <c r="DN2" s="84"/>
      <c r="DO2" s="84"/>
      <c r="DP2" s="84"/>
      <c r="DQ2" s="84"/>
      <c r="DR2" s="84"/>
      <c r="DS2" s="84"/>
      <c r="DT2" s="84"/>
      <c r="DU2" s="84"/>
      <c r="DV2" s="84"/>
      <c r="DW2" s="84"/>
      <c r="DX2" s="84"/>
      <c r="DY2" s="84"/>
      <c r="DZ2" s="84"/>
      <c r="EA2" s="84"/>
      <c r="EB2" s="84"/>
      <c r="EC2" s="84"/>
      <c r="ED2" s="84"/>
      <c r="EE2" s="84"/>
      <c r="EF2" s="84"/>
      <c r="EG2" s="84"/>
      <c r="EH2" s="84"/>
      <c r="EI2" s="84"/>
      <c r="EJ2" s="84"/>
      <c r="EK2" s="84"/>
      <c r="EL2" s="85"/>
      <c r="EM2" s="85"/>
      <c r="EN2" s="85"/>
      <c r="EO2" s="85"/>
      <c r="EP2" s="85"/>
      <c r="EQ2" s="85"/>
      <c r="ER2" s="84"/>
      <c r="ES2" s="84"/>
      <c r="ET2" s="84"/>
      <c r="EU2" s="84"/>
      <c r="EV2" s="84"/>
      <c r="EW2" s="84"/>
      <c r="EX2" s="84"/>
      <c r="EY2" s="86"/>
      <c r="EZ2" s="86"/>
      <c r="FA2" s="86"/>
      <c r="FB2" s="86"/>
      <c r="FC2" s="84"/>
      <c r="FD2" s="84"/>
      <c r="FE2" s="86"/>
      <c r="FF2" s="86"/>
      <c r="FG2" s="86"/>
      <c r="FH2" s="86"/>
      <c r="FI2" s="84"/>
      <c r="FJ2" s="84"/>
      <c r="FK2" s="86"/>
      <c r="FL2" s="86"/>
      <c r="FM2" s="86"/>
      <c r="FN2" s="86"/>
      <c r="FO2" s="87"/>
      <c r="FP2" s="87"/>
      <c r="FQ2" s="87"/>
      <c r="FR2" s="87"/>
      <c r="FS2" s="87"/>
      <c r="FT2" s="88"/>
      <c r="FU2" s="87"/>
      <c r="FV2" s="87"/>
      <c r="FW2" s="87"/>
      <c r="FX2" s="87"/>
      <c r="FY2" s="87"/>
      <c r="FZ2" s="87"/>
      <c r="GA2" s="87"/>
      <c r="GB2" s="87"/>
      <c r="GC2" s="87"/>
      <c r="GD2" s="87"/>
      <c r="GE2" s="87"/>
      <c r="GF2" s="87"/>
      <c r="GG2" s="87"/>
      <c r="GH2" s="87"/>
      <c r="GI2" s="87"/>
      <c r="GJ2" s="87"/>
      <c r="GK2" s="87"/>
      <c r="GL2" s="87"/>
    </row>
    <row r="3" spans="1:197" x14ac:dyDescent="0.25">
      <c r="A3" t="s">
        <v>41</v>
      </c>
      <c r="B3" t="s">
        <v>42</v>
      </c>
      <c r="C3" s="89" t="s">
        <v>43</v>
      </c>
      <c r="D3" s="89" t="s">
        <v>44</v>
      </c>
      <c r="E3" s="89" t="s">
        <v>45</v>
      </c>
      <c r="F3" s="89" t="s">
        <v>46</v>
      </c>
      <c r="G3" s="89" t="s">
        <v>47</v>
      </c>
      <c r="H3" s="89" t="s">
        <v>48</v>
      </c>
      <c r="I3" s="89" t="s">
        <v>49</v>
      </c>
      <c r="J3" s="89" t="s">
        <v>50</v>
      </c>
      <c r="K3" s="89" t="s">
        <v>51</v>
      </c>
      <c r="L3" s="89" t="s">
        <v>52</v>
      </c>
      <c r="M3" s="89" t="s">
        <v>53</v>
      </c>
      <c r="N3" s="89" t="s">
        <v>54</v>
      </c>
      <c r="O3" s="89" t="s">
        <v>55</v>
      </c>
      <c r="P3" s="89" t="s">
        <v>56</v>
      </c>
      <c r="Q3" s="89" t="s">
        <v>57</v>
      </c>
      <c r="R3" s="89" t="s">
        <v>58</v>
      </c>
      <c r="S3" s="89" t="s">
        <v>59</v>
      </c>
      <c r="T3" s="89" t="s">
        <v>60</v>
      </c>
      <c r="U3" s="89" t="s">
        <v>61</v>
      </c>
      <c r="V3" s="89" t="s">
        <v>62</v>
      </c>
      <c r="W3" s="89" t="s">
        <v>63</v>
      </c>
      <c r="X3" s="89" t="s">
        <v>64</v>
      </c>
      <c r="Y3" s="89" t="s">
        <v>65</v>
      </c>
      <c r="Z3" s="89" t="s">
        <v>66</v>
      </c>
      <c r="AA3" s="89" t="s">
        <v>67</v>
      </c>
      <c r="AB3" s="89" t="s">
        <v>68</v>
      </c>
      <c r="AC3" s="89" t="s">
        <v>69</v>
      </c>
      <c r="AD3" s="89" t="s">
        <v>70</v>
      </c>
      <c r="AE3" s="89" t="s">
        <v>71</v>
      </c>
      <c r="AF3" s="89" t="s">
        <v>72</v>
      </c>
      <c r="AG3" s="89" t="s">
        <v>73</v>
      </c>
      <c r="AH3" s="89" t="s">
        <v>74</v>
      </c>
      <c r="AI3" s="89" t="s">
        <v>75</v>
      </c>
      <c r="AJ3" s="89" t="s">
        <v>76</v>
      </c>
      <c r="AK3" s="89" t="s">
        <v>77</v>
      </c>
      <c r="AL3" s="89" t="s">
        <v>78</v>
      </c>
      <c r="AM3" s="89" t="s">
        <v>79</v>
      </c>
      <c r="AN3" s="89" t="s">
        <v>80</v>
      </c>
      <c r="AO3" s="89" t="s">
        <v>81</v>
      </c>
      <c r="AP3" s="89" t="s">
        <v>82</v>
      </c>
      <c r="AQ3" s="89" t="s">
        <v>83</v>
      </c>
      <c r="AR3" s="89" t="s">
        <v>84</v>
      </c>
      <c r="AS3" s="89" t="s">
        <v>85</v>
      </c>
      <c r="AT3" s="89" t="s">
        <v>86</v>
      </c>
      <c r="AU3" s="89" t="s">
        <v>87</v>
      </c>
      <c r="AV3" s="89" t="s">
        <v>88</v>
      </c>
      <c r="AW3" s="89" t="s">
        <v>89</v>
      </c>
      <c r="AX3" s="89" t="s">
        <v>90</v>
      </c>
      <c r="AY3" s="89" t="s">
        <v>91</v>
      </c>
      <c r="AZ3" s="89" t="s">
        <v>92</v>
      </c>
      <c r="BA3" s="89" t="s">
        <v>93</v>
      </c>
      <c r="BB3" s="89" t="s">
        <v>94</v>
      </c>
      <c r="BC3" s="89" t="s">
        <v>95</v>
      </c>
      <c r="BD3" s="89" t="s">
        <v>96</v>
      </c>
      <c r="BE3" s="89" t="s">
        <v>97</v>
      </c>
      <c r="BF3" s="89" t="s">
        <v>98</v>
      </c>
      <c r="BG3" s="89" t="s">
        <v>99</v>
      </c>
      <c r="BH3" s="89" t="s">
        <v>100</v>
      </c>
      <c r="BI3" s="89" t="s">
        <v>101</v>
      </c>
      <c r="BJ3" s="89" t="s">
        <v>102</v>
      </c>
      <c r="BK3" s="89" t="s">
        <v>103</v>
      </c>
      <c r="BL3" s="89" t="s">
        <v>104</v>
      </c>
      <c r="BM3" s="89" t="s">
        <v>105</v>
      </c>
      <c r="BN3" s="89" t="s">
        <v>106</v>
      </c>
      <c r="BO3" s="89" t="s">
        <v>107</v>
      </c>
      <c r="BP3" s="89" t="s">
        <v>108</v>
      </c>
      <c r="BQ3" s="89" t="s">
        <v>109</v>
      </c>
      <c r="BR3" s="89" t="s">
        <v>110</v>
      </c>
      <c r="BS3" s="89" t="s">
        <v>111</v>
      </c>
      <c r="BT3" s="89" t="s">
        <v>112</v>
      </c>
      <c r="BU3" s="89" t="s">
        <v>113</v>
      </c>
      <c r="BV3" s="89" t="s">
        <v>114</v>
      </c>
      <c r="BW3" s="89" t="s">
        <v>115</v>
      </c>
      <c r="BX3" s="89" t="s">
        <v>116</v>
      </c>
      <c r="BY3" s="89" t="s">
        <v>117</v>
      </c>
      <c r="BZ3" s="89" t="s">
        <v>118</v>
      </c>
      <c r="CA3" s="89" t="s">
        <v>119</v>
      </c>
      <c r="CB3" s="89" t="s">
        <v>120</v>
      </c>
      <c r="CC3" s="89" t="s">
        <v>121</v>
      </c>
      <c r="CD3" s="89" t="s">
        <v>122</v>
      </c>
      <c r="CE3" s="89" t="s">
        <v>123</v>
      </c>
      <c r="CF3" s="89" t="s">
        <v>124</v>
      </c>
      <c r="CG3" s="89" t="s">
        <v>125</v>
      </c>
      <c r="CH3" s="89" t="s">
        <v>126</v>
      </c>
      <c r="CI3" s="89" t="s">
        <v>127</v>
      </c>
      <c r="CJ3" s="89" t="s">
        <v>128</v>
      </c>
      <c r="CK3" s="89" t="s">
        <v>129</v>
      </c>
      <c r="CL3" s="89" t="s">
        <v>130</v>
      </c>
      <c r="CM3" s="89" t="s">
        <v>131</v>
      </c>
      <c r="CN3" s="89" t="s">
        <v>132</v>
      </c>
      <c r="CO3" s="89" t="s">
        <v>133</v>
      </c>
      <c r="CP3" s="89" t="s">
        <v>134</v>
      </c>
      <c r="CQ3" s="89" t="s">
        <v>135</v>
      </c>
      <c r="CR3" s="89" t="s">
        <v>136</v>
      </c>
      <c r="CS3" s="89" t="s">
        <v>137</v>
      </c>
      <c r="CT3" s="89" t="s">
        <v>138</v>
      </c>
      <c r="CU3" s="89" t="s">
        <v>139</v>
      </c>
      <c r="CV3" s="89" t="s">
        <v>140</v>
      </c>
      <c r="CW3" s="89" t="s">
        <v>141</v>
      </c>
      <c r="CX3" s="89" t="s">
        <v>142</v>
      </c>
      <c r="CY3" s="89" t="s">
        <v>143</v>
      </c>
      <c r="CZ3" s="89" t="s">
        <v>144</v>
      </c>
      <c r="DA3" s="89" t="s">
        <v>145</v>
      </c>
      <c r="DB3" s="89" t="s">
        <v>146</v>
      </c>
      <c r="DC3" s="89" t="s">
        <v>147</v>
      </c>
      <c r="DD3" s="89" t="s">
        <v>148</v>
      </c>
      <c r="DE3" s="89" t="s">
        <v>149</v>
      </c>
      <c r="DF3" s="89" t="s">
        <v>150</v>
      </c>
      <c r="DG3" s="89" t="s">
        <v>151</v>
      </c>
      <c r="DH3" s="89" t="s">
        <v>152</v>
      </c>
      <c r="DI3" s="89" t="s">
        <v>153</v>
      </c>
      <c r="DJ3" s="89" t="s">
        <v>154</v>
      </c>
      <c r="DK3" s="89" t="s">
        <v>155</v>
      </c>
      <c r="DL3" s="89" t="s">
        <v>156</v>
      </c>
      <c r="DM3" s="89" t="s">
        <v>157</v>
      </c>
      <c r="DN3" s="89" t="s">
        <v>158</v>
      </c>
      <c r="DO3" s="89" t="s">
        <v>159</v>
      </c>
      <c r="DP3" s="89" t="s">
        <v>160</v>
      </c>
      <c r="DQ3" s="89" t="s">
        <v>161</v>
      </c>
      <c r="DR3" s="89" t="s">
        <v>162</v>
      </c>
      <c r="DS3" s="89" t="s">
        <v>163</v>
      </c>
      <c r="DT3" s="89" t="s">
        <v>164</v>
      </c>
      <c r="DU3" s="89" t="s">
        <v>165</v>
      </c>
      <c r="DV3" s="89" t="s">
        <v>166</v>
      </c>
      <c r="DW3" s="89" t="s">
        <v>167</v>
      </c>
      <c r="DX3" s="89" t="s">
        <v>168</v>
      </c>
      <c r="DY3" s="89" t="s">
        <v>169</v>
      </c>
      <c r="DZ3" s="89" t="s">
        <v>170</v>
      </c>
      <c r="EA3" s="89" t="s">
        <v>171</v>
      </c>
      <c r="EB3" s="89" t="s">
        <v>172</v>
      </c>
      <c r="EC3" s="89" t="s">
        <v>173</v>
      </c>
      <c r="ED3" s="89" t="s">
        <v>174</v>
      </c>
      <c r="EE3" s="89" t="s">
        <v>175</v>
      </c>
      <c r="EF3" s="89" t="s">
        <v>176</v>
      </c>
      <c r="EG3" s="89" t="s">
        <v>177</v>
      </c>
      <c r="EH3" s="89" t="s">
        <v>178</v>
      </c>
      <c r="EI3" s="89" t="s">
        <v>179</v>
      </c>
      <c r="EJ3" s="89" t="s">
        <v>180</v>
      </c>
      <c r="EK3" s="89" t="s">
        <v>181</v>
      </c>
      <c r="EL3" s="89" t="s">
        <v>182</v>
      </c>
      <c r="EM3" s="89" t="s">
        <v>183</v>
      </c>
      <c r="EN3" s="89" t="s">
        <v>184</v>
      </c>
      <c r="EO3" s="89" t="s">
        <v>185</v>
      </c>
      <c r="EP3" s="89" t="s">
        <v>186</v>
      </c>
      <c r="EQ3" s="89" t="s">
        <v>187</v>
      </c>
      <c r="ER3" s="89" t="s">
        <v>188</v>
      </c>
      <c r="ES3" s="89" t="s">
        <v>189</v>
      </c>
      <c r="ET3" s="89" t="s">
        <v>190</v>
      </c>
      <c r="EU3" s="89" t="s">
        <v>191</v>
      </c>
      <c r="EV3" s="89" t="s">
        <v>192</v>
      </c>
      <c r="EW3" s="89" t="s">
        <v>193</v>
      </c>
      <c r="EX3" s="89" t="s">
        <v>194</v>
      </c>
      <c r="EY3" s="89" t="s">
        <v>195</v>
      </c>
      <c r="EZ3" s="89" t="s">
        <v>196</v>
      </c>
      <c r="FA3" s="89" t="s">
        <v>197</v>
      </c>
      <c r="FB3" s="89" t="s">
        <v>198</v>
      </c>
      <c r="FC3" s="89" t="s">
        <v>199</v>
      </c>
      <c r="FD3" s="89" t="s">
        <v>200</v>
      </c>
      <c r="FE3" s="89" t="s">
        <v>201</v>
      </c>
      <c r="FF3" s="89" t="s">
        <v>202</v>
      </c>
      <c r="FG3" s="89" t="s">
        <v>203</v>
      </c>
      <c r="FH3" s="89" t="s">
        <v>204</v>
      </c>
      <c r="FI3" s="89" t="s">
        <v>205</v>
      </c>
      <c r="FJ3" s="89" t="s">
        <v>206</v>
      </c>
      <c r="FK3" s="89" t="s">
        <v>207</v>
      </c>
      <c r="FL3" s="89" t="s">
        <v>208</v>
      </c>
      <c r="FM3" s="89" t="s">
        <v>209</v>
      </c>
      <c r="FN3" s="89" t="s">
        <v>210</v>
      </c>
      <c r="FO3" s="89" t="s">
        <v>211</v>
      </c>
      <c r="FP3" s="89" t="s">
        <v>212</v>
      </c>
      <c r="FQ3" s="89" t="s">
        <v>213</v>
      </c>
      <c r="FR3" s="89" t="s">
        <v>214</v>
      </c>
      <c r="FS3" s="89" t="s">
        <v>215</v>
      </c>
      <c r="FT3" s="89" t="s">
        <v>216</v>
      </c>
      <c r="FU3" s="89" t="s">
        <v>217</v>
      </c>
      <c r="FV3" s="89" t="s">
        <v>218</v>
      </c>
      <c r="FW3" s="89" t="s">
        <v>219</v>
      </c>
      <c r="FX3" s="89" t="s">
        <v>220</v>
      </c>
      <c r="FY3" s="89" t="s">
        <v>221</v>
      </c>
      <c r="FZ3" s="89" t="s">
        <v>222</v>
      </c>
      <c r="GA3" s="89" t="s">
        <v>223</v>
      </c>
      <c r="GB3" s="89" t="s">
        <v>224</v>
      </c>
      <c r="GC3" s="89" t="s">
        <v>225</v>
      </c>
      <c r="GD3" s="89" t="s">
        <v>226</v>
      </c>
      <c r="GE3" s="89" t="s">
        <v>227</v>
      </c>
      <c r="GF3" s="89" t="s">
        <v>228</v>
      </c>
      <c r="GG3" s="89" t="s">
        <v>229</v>
      </c>
      <c r="GH3" s="89" t="s">
        <v>230</v>
      </c>
      <c r="GI3" s="89" t="s">
        <v>231</v>
      </c>
      <c r="GJ3" s="89" t="s">
        <v>232</v>
      </c>
      <c r="GK3" s="89" t="s">
        <v>233</v>
      </c>
      <c r="GL3" s="89" t="s">
        <v>234</v>
      </c>
    </row>
    <row r="4" spans="1:197" x14ac:dyDescent="0.25">
      <c r="A4" s="10" t="s">
        <v>1</v>
      </c>
      <c r="C4" s="11" t="s">
        <v>2</v>
      </c>
      <c r="D4" s="11"/>
      <c r="E4" s="11"/>
      <c r="F4" s="11"/>
      <c r="G4" s="11"/>
      <c r="H4" s="11"/>
      <c r="I4" s="11"/>
      <c r="J4" s="11"/>
      <c r="K4" s="11" t="s">
        <v>3</v>
      </c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90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1"/>
      <c r="BA4" s="11"/>
      <c r="BB4" s="11"/>
      <c r="BC4" s="11"/>
      <c r="BD4" s="11"/>
      <c r="BE4" s="11"/>
      <c r="BF4" s="12"/>
      <c r="BG4" s="11" t="s">
        <v>4</v>
      </c>
      <c r="BH4" s="11"/>
      <c r="BI4" s="11"/>
      <c r="BJ4" s="11"/>
      <c r="BK4" s="11"/>
      <c r="BL4" s="11"/>
      <c r="BM4" s="11" t="s">
        <v>4</v>
      </c>
      <c r="BN4" s="11"/>
      <c r="BO4" s="11"/>
      <c r="BP4" s="11"/>
      <c r="BQ4" s="11"/>
      <c r="BR4" s="11"/>
      <c r="BS4" s="11"/>
      <c r="BT4" s="11"/>
      <c r="BU4" s="11"/>
      <c r="BV4" s="11"/>
      <c r="BW4" s="11"/>
      <c r="BX4" s="11"/>
      <c r="BY4" s="11"/>
      <c r="BZ4" s="11"/>
      <c r="CA4" s="11"/>
      <c r="CB4" s="11"/>
      <c r="CC4" s="11"/>
      <c r="CD4" s="11"/>
      <c r="CE4" s="11"/>
      <c r="CF4" s="11"/>
      <c r="CG4" s="11"/>
      <c r="CH4" s="11"/>
      <c r="CI4" s="11"/>
      <c r="CJ4" s="11"/>
      <c r="CK4" s="11"/>
      <c r="CL4" s="11"/>
      <c r="CM4" s="11"/>
      <c r="CN4" s="11"/>
      <c r="CO4" s="11"/>
      <c r="CP4" s="11"/>
      <c r="CQ4" s="11"/>
      <c r="CR4" s="11"/>
      <c r="CS4" s="11"/>
      <c r="CT4" s="11"/>
      <c r="CU4" s="11"/>
      <c r="CV4" s="11"/>
      <c r="CW4" s="11"/>
      <c r="CX4" s="11"/>
      <c r="CY4" s="11"/>
      <c r="CZ4" s="11"/>
      <c r="DA4" s="11"/>
      <c r="DB4" s="11"/>
      <c r="DC4" s="11"/>
      <c r="DD4" s="11"/>
      <c r="DE4" s="11"/>
      <c r="DF4" s="12"/>
      <c r="DG4" s="11" t="s">
        <v>5</v>
      </c>
      <c r="DH4" s="11"/>
      <c r="DI4" s="11"/>
      <c r="DJ4" s="11"/>
      <c r="DK4" s="11"/>
      <c r="DL4" s="11"/>
      <c r="DM4" s="11"/>
      <c r="DN4" s="11"/>
      <c r="DO4" s="11"/>
      <c r="DP4" s="11"/>
      <c r="DQ4" s="11"/>
      <c r="DR4" s="11"/>
      <c r="DS4" s="11"/>
      <c r="DT4" s="11"/>
      <c r="DU4" s="11"/>
      <c r="DV4" s="11"/>
      <c r="DW4" s="11"/>
      <c r="DX4" s="11"/>
      <c r="DY4" s="11"/>
      <c r="DZ4" s="11"/>
      <c r="EA4" s="11"/>
      <c r="EB4" s="11"/>
      <c r="EC4" s="11"/>
      <c r="ED4" s="11"/>
      <c r="EE4" s="12"/>
      <c r="EF4" s="11" t="s">
        <v>6</v>
      </c>
      <c r="EG4" s="11"/>
      <c r="EH4" s="11"/>
      <c r="EI4" s="11"/>
      <c r="EJ4" s="11"/>
      <c r="EK4" s="12"/>
      <c r="EL4" s="11" t="s">
        <v>7</v>
      </c>
      <c r="EM4" s="11"/>
      <c r="EN4" s="11"/>
      <c r="EO4" s="11"/>
      <c r="EP4" s="11"/>
      <c r="EQ4" s="11"/>
      <c r="ER4" s="11"/>
      <c r="ES4" s="11"/>
      <c r="ET4" s="11"/>
      <c r="EU4" s="11"/>
      <c r="EV4" s="11"/>
      <c r="EW4" s="11"/>
      <c r="EX4" s="11"/>
      <c r="EY4" s="13"/>
      <c r="EZ4" s="13"/>
      <c r="FA4" s="13"/>
      <c r="FB4" s="13"/>
      <c r="FC4" s="11"/>
      <c r="FD4" s="11"/>
      <c r="FE4" s="13"/>
      <c r="FF4" s="13"/>
      <c r="FG4" s="13"/>
      <c r="FH4" s="13"/>
      <c r="FI4" s="11"/>
      <c r="FJ4" s="11"/>
      <c r="FK4" s="13"/>
      <c r="FL4" s="13"/>
      <c r="FM4" s="13"/>
      <c r="FN4" s="13"/>
      <c r="FP4" s="11" t="s">
        <v>8</v>
      </c>
      <c r="FQ4" s="11"/>
      <c r="FR4" s="11"/>
      <c r="FS4" s="11"/>
      <c r="FT4" s="14"/>
      <c r="FU4" s="11"/>
      <c r="FV4" s="11"/>
      <c r="FW4" s="11"/>
      <c r="FX4" s="11"/>
      <c r="FY4" s="11"/>
      <c r="FZ4" s="11"/>
      <c r="GA4" s="11"/>
      <c r="GB4" s="11"/>
      <c r="GC4" s="11"/>
      <c r="GD4" s="11"/>
      <c r="GE4" s="11"/>
      <c r="GF4" s="11"/>
      <c r="GG4" s="11"/>
      <c r="GH4" s="11"/>
      <c r="GI4" s="11"/>
      <c r="GJ4" s="11"/>
      <c r="GK4" s="11"/>
      <c r="GL4" s="11"/>
      <c r="GN4" s="92" t="s">
        <v>235</v>
      </c>
      <c r="GO4" s="92" t="s">
        <v>236</v>
      </c>
    </row>
    <row r="5" spans="1:197" ht="14.65" customHeight="1" x14ac:dyDescent="0.25">
      <c r="C5" s="15" t="s">
        <v>9</v>
      </c>
      <c r="D5" s="15"/>
      <c r="E5" s="15"/>
      <c r="F5" s="15"/>
      <c r="G5" s="15"/>
      <c r="H5" s="15"/>
      <c r="I5" s="15"/>
      <c r="J5" s="16"/>
      <c r="K5" s="15" t="s">
        <v>10</v>
      </c>
      <c r="L5" s="15"/>
      <c r="M5" s="15"/>
      <c r="N5" s="15"/>
      <c r="O5" s="15"/>
      <c r="P5" s="15"/>
      <c r="Q5" s="15"/>
      <c r="R5" s="16"/>
      <c r="S5" s="15" t="s">
        <v>11</v>
      </c>
      <c r="T5" s="15"/>
      <c r="U5" s="15"/>
      <c r="V5" s="15"/>
      <c r="W5" s="15"/>
      <c r="X5" s="15"/>
      <c r="Y5" s="15"/>
      <c r="Z5" s="91"/>
      <c r="AA5" s="15" t="s">
        <v>12</v>
      </c>
      <c r="AB5" s="15"/>
      <c r="AC5" s="15"/>
      <c r="AD5" s="15"/>
      <c r="AE5" s="15"/>
      <c r="AF5" s="15"/>
      <c r="AG5" s="15"/>
      <c r="AH5" s="16"/>
      <c r="AI5" s="15" t="s">
        <v>13</v>
      </c>
      <c r="AJ5" s="15"/>
      <c r="AK5" s="15"/>
      <c r="AL5" s="15"/>
      <c r="AM5" s="15"/>
      <c r="AN5" s="15"/>
      <c r="AO5" s="15"/>
      <c r="AP5" s="16"/>
      <c r="AQ5" s="15" t="s">
        <v>14</v>
      </c>
      <c r="AR5" s="15"/>
      <c r="AS5" s="15"/>
      <c r="AT5" s="15"/>
      <c r="AU5" s="15"/>
      <c r="AV5" s="15"/>
      <c r="AW5" s="15"/>
      <c r="AX5" s="16"/>
      <c r="AY5" s="15" t="s">
        <v>15</v>
      </c>
      <c r="AZ5" s="15"/>
      <c r="BA5" s="15"/>
      <c r="BB5" s="15"/>
      <c r="BC5" s="15"/>
      <c r="BD5" s="15"/>
      <c r="BE5" s="15"/>
      <c r="BF5" s="16"/>
      <c r="BG5" s="15" t="s">
        <v>16</v>
      </c>
      <c r="BH5" s="15"/>
      <c r="BI5" s="15"/>
      <c r="BJ5" s="15"/>
      <c r="BK5" s="15"/>
      <c r="BL5" s="16"/>
      <c r="BM5" s="15" t="s">
        <v>17</v>
      </c>
      <c r="BN5" s="15"/>
      <c r="BO5" s="15"/>
      <c r="BP5" s="15"/>
      <c r="BQ5" s="15"/>
      <c r="BR5" s="16"/>
      <c r="BS5" s="94" t="s">
        <v>11</v>
      </c>
      <c r="BT5" s="95"/>
      <c r="BU5" s="95"/>
      <c r="BV5" s="95"/>
      <c r="BW5" s="95"/>
      <c r="BX5" s="95"/>
      <c r="BY5" s="95"/>
      <c r="BZ5" s="95"/>
      <c r="CA5" s="15" t="s">
        <v>12</v>
      </c>
      <c r="CB5" s="15"/>
      <c r="CC5" s="15"/>
      <c r="CD5" s="15"/>
      <c r="CE5" s="15"/>
      <c r="CF5" s="15"/>
      <c r="CG5" s="15"/>
      <c r="CH5" s="16"/>
      <c r="CI5" s="15" t="s">
        <v>13</v>
      </c>
      <c r="CJ5" s="15"/>
      <c r="CK5" s="15"/>
      <c r="CL5" s="15"/>
      <c r="CM5" s="15"/>
      <c r="CN5" s="15"/>
      <c r="CO5" s="15"/>
      <c r="CP5" s="16"/>
      <c r="CQ5" s="15" t="s">
        <v>14</v>
      </c>
      <c r="CR5" s="15"/>
      <c r="CS5" s="15"/>
      <c r="CT5" s="15"/>
      <c r="CU5" s="15"/>
      <c r="CV5" s="15"/>
      <c r="CW5" s="15"/>
      <c r="CX5" s="16"/>
      <c r="CY5" s="15" t="s">
        <v>15</v>
      </c>
      <c r="CZ5" s="15"/>
      <c r="DA5" s="15"/>
      <c r="DB5" s="15"/>
      <c r="DC5" s="15"/>
      <c r="DD5" s="15"/>
      <c r="DE5" s="15"/>
      <c r="DF5" s="16"/>
      <c r="DG5" s="15" t="s">
        <v>17</v>
      </c>
      <c r="DH5" s="15"/>
      <c r="DI5" s="15"/>
      <c r="DJ5" s="15"/>
      <c r="DK5" s="12"/>
      <c r="DL5" s="15" t="s">
        <v>11</v>
      </c>
      <c r="DM5" s="15"/>
      <c r="DN5" s="15"/>
      <c r="DO5" s="15"/>
      <c r="DP5" s="12"/>
      <c r="DQ5" s="15" t="s">
        <v>12</v>
      </c>
      <c r="DR5" s="15"/>
      <c r="DS5" s="15"/>
      <c r="DT5" s="15"/>
      <c r="DU5" s="16"/>
      <c r="DV5" s="15" t="s">
        <v>13</v>
      </c>
      <c r="DW5" s="15"/>
      <c r="DX5" s="15"/>
      <c r="DY5" s="15"/>
      <c r="DZ5" s="16"/>
      <c r="EA5" s="15" t="s">
        <v>14</v>
      </c>
      <c r="EB5" s="15"/>
      <c r="EC5" s="15"/>
      <c r="ED5" s="15"/>
      <c r="EE5" s="16"/>
      <c r="EF5" s="15" t="s">
        <v>18</v>
      </c>
      <c r="EG5" s="15"/>
      <c r="EH5" s="15"/>
      <c r="EI5" s="15"/>
      <c r="EJ5" s="15"/>
      <c r="EK5" s="16"/>
      <c r="EL5" s="15" t="s">
        <v>17</v>
      </c>
      <c r="EM5" s="15"/>
      <c r="EN5" s="15"/>
      <c r="EO5" s="15"/>
      <c r="EP5" s="17"/>
      <c r="EQ5" s="16"/>
      <c r="ER5" s="15" t="s">
        <v>11</v>
      </c>
      <c r="ES5" s="15"/>
      <c r="ET5" s="15"/>
      <c r="EU5" s="15"/>
      <c r="EV5" s="17"/>
      <c r="EW5" s="12"/>
      <c r="EX5" s="15" t="s">
        <v>12</v>
      </c>
      <c r="EY5" s="18"/>
      <c r="EZ5" s="18"/>
      <c r="FA5" s="18"/>
      <c r="FB5" s="18"/>
      <c r="FC5" s="16"/>
      <c r="FD5" s="15" t="s">
        <v>13</v>
      </c>
      <c r="FE5" s="18"/>
      <c r="FF5" s="18"/>
      <c r="FG5" s="18"/>
      <c r="FH5" s="18"/>
      <c r="FI5" s="16"/>
      <c r="FJ5" s="15" t="s">
        <v>14</v>
      </c>
      <c r="FK5" s="18"/>
      <c r="FL5" s="18"/>
      <c r="FM5" s="18"/>
      <c r="FN5" s="18"/>
      <c r="FP5" s="15" t="s">
        <v>19</v>
      </c>
      <c r="FQ5" s="15"/>
      <c r="FR5" s="15"/>
      <c r="FS5" s="15"/>
      <c r="FT5" s="19"/>
      <c r="FV5" s="15" t="s">
        <v>20</v>
      </c>
      <c r="FW5" s="15"/>
      <c r="FX5" s="15"/>
      <c r="FY5" s="15"/>
      <c r="FZ5" s="15"/>
      <c r="GB5" s="15" t="s">
        <v>21</v>
      </c>
      <c r="GC5" s="15"/>
      <c r="GD5" s="15"/>
      <c r="GE5" s="15"/>
      <c r="GF5" s="15"/>
      <c r="GH5" s="15" t="s">
        <v>22</v>
      </c>
      <c r="GI5" s="15"/>
      <c r="GJ5" s="15"/>
      <c r="GK5" s="15"/>
      <c r="GL5" s="15"/>
      <c r="GN5" s="93"/>
      <c r="GO5" s="93"/>
    </row>
    <row r="6" spans="1:197" x14ac:dyDescent="0.25">
      <c r="A6" s="8"/>
      <c r="B6" s="8"/>
      <c r="C6" s="20" t="s">
        <v>23</v>
      </c>
      <c r="D6" s="20" t="s">
        <v>24</v>
      </c>
      <c r="E6" s="20" t="s">
        <v>25</v>
      </c>
      <c r="F6" s="20" t="s">
        <v>26</v>
      </c>
      <c r="G6" s="20" t="s">
        <v>27</v>
      </c>
      <c r="H6" s="20" t="s">
        <v>28</v>
      </c>
      <c r="I6" s="20" t="s">
        <v>16</v>
      </c>
      <c r="J6" s="20"/>
      <c r="K6" s="20" t="s">
        <v>23</v>
      </c>
      <c r="L6" s="20" t="s">
        <v>24</v>
      </c>
      <c r="M6" s="20" t="s">
        <v>25</v>
      </c>
      <c r="N6" s="20" t="s">
        <v>26</v>
      </c>
      <c r="O6" s="20" t="s">
        <v>27</v>
      </c>
      <c r="P6" s="20" t="s">
        <v>28</v>
      </c>
      <c r="Q6" s="20" t="s">
        <v>16</v>
      </c>
      <c r="R6" s="20"/>
      <c r="S6" s="20" t="s">
        <v>23</v>
      </c>
      <c r="T6" s="20" t="s">
        <v>24</v>
      </c>
      <c r="U6" s="20" t="s">
        <v>25</v>
      </c>
      <c r="V6" s="20" t="s">
        <v>26</v>
      </c>
      <c r="W6" s="20" t="s">
        <v>27</v>
      </c>
      <c r="X6" s="20" t="s">
        <v>28</v>
      </c>
      <c r="Y6" s="20" t="s">
        <v>16</v>
      </c>
      <c r="Z6" s="20"/>
      <c r="AA6" s="20" t="s">
        <v>23</v>
      </c>
      <c r="AB6" s="20" t="s">
        <v>24</v>
      </c>
      <c r="AC6" s="20" t="s">
        <v>25</v>
      </c>
      <c r="AD6" s="20" t="s">
        <v>26</v>
      </c>
      <c r="AE6" s="20" t="s">
        <v>27</v>
      </c>
      <c r="AF6" s="20" t="s">
        <v>28</v>
      </c>
      <c r="AG6" s="20" t="s">
        <v>16</v>
      </c>
      <c r="AH6" s="20"/>
      <c r="AI6" s="20" t="s">
        <v>23</v>
      </c>
      <c r="AJ6" s="20" t="s">
        <v>24</v>
      </c>
      <c r="AK6" s="20" t="s">
        <v>25</v>
      </c>
      <c r="AL6" s="20" t="s">
        <v>26</v>
      </c>
      <c r="AM6" s="20" t="s">
        <v>27</v>
      </c>
      <c r="AN6" s="20" t="s">
        <v>28</v>
      </c>
      <c r="AO6" s="20" t="s">
        <v>16</v>
      </c>
      <c r="AP6" s="20"/>
      <c r="AQ6" s="20" t="s">
        <v>23</v>
      </c>
      <c r="AR6" s="20" t="s">
        <v>24</v>
      </c>
      <c r="AS6" s="20" t="s">
        <v>25</v>
      </c>
      <c r="AT6" s="20" t="s">
        <v>26</v>
      </c>
      <c r="AU6" s="20" t="s">
        <v>27</v>
      </c>
      <c r="AV6" s="20" t="s">
        <v>28</v>
      </c>
      <c r="AW6" s="20" t="s">
        <v>16</v>
      </c>
      <c r="AX6" s="20"/>
      <c r="AY6" s="20" t="s">
        <v>23</v>
      </c>
      <c r="AZ6" s="20" t="s">
        <v>24</v>
      </c>
      <c r="BA6" s="20" t="s">
        <v>25</v>
      </c>
      <c r="BB6" s="20" t="s">
        <v>26</v>
      </c>
      <c r="BC6" s="20" t="s">
        <v>27</v>
      </c>
      <c r="BD6" s="20" t="s">
        <v>28</v>
      </c>
      <c r="BE6" s="20" t="s">
        <v>16</v>
      </c>
      <c r="BF6" s="20"/>
      <c r="BG6" s="20" t="s">
        <v>23</v>
      </c>
      <c r="BH6" s="20" t="s">
        <v>24</v>
      </c>
      <c r="BI6" s="20" t="s">
        <v>27</v>
      </c>
      <c r="BJ6" s="20" t="s">
        <v>28</v>
      </c>
      <c r="BK6" s="20" t="s">
        <v>16</v>
      </c>
      <c r="BL6" s="20"/>
      <c r="BM6" s="20" t="s">
        <v>23</v>
      </c>
      <c r="BN6" s="20" t="s">
        <v>24</v>
      </c>
      <c r="BO6" s="20" t="s">
        <v>27</v>
      </c>
      <c r="BP6" s="20" t="s">
        <v>28</v>
      </c>
      <c r="BQ6" s="20" t="s">
        <v>16</v>
      </c>
      <c r="BR6" s="20"/>
      <c r="BS6" s="20" t="s">
        <v>23</v>
      </c>
      <c r="BT6" s="20" t="s">
        <v>24</v>
      </c>
      <c r="BU6" s="20" t="s">
        <v>25</v>
      </c>
      <c r="BV6" s="20" t="s">
        <v>26</v>
      </c>
      <c r="BW6" s="20" t="s">
        <v>27</v>
      </c>
      <c r="BX6" s="20" t="s">
        <v>28</v>
      </c>
      <c r="BY6" s="20" t="s">
        <v>16</v>
      </c>
      <c r="BZ6" s="20"/>
      <c r="CA6" s="20" t="s">
        <v>23</v>
      </c>
      <c r="CB6" s="20" t="s">
        <v>24</v>
      </c>
      <c r="CC6" s="20" t="s">
        <v>25</v>
      </c>
      <c r="CD6" s="20" t="s">
        <v>26</v>
      </c>
      <c r="CE6" s="20" t="s">
        <v>27</v>
      </c>
      <c r="CF6" s="20" t="s">
        <v>28</v>
      </c>
      <c r="CG6" s="20" t="s">
        <v>16</v>
      </c>
      <c r="CH6" s="20"/>
      <c r="CI6" s="20" t="s">
        <v>23</v>
      </c>
      <c r="CJ6" s="20" t="s">
        <v>24</v>
      </c>
      <c r="CK6" s="20" t="s">
        <v>25</v>
      </c>
      <c r="CL6" s="20" t="s">
        <v>26</v>
      </c>
      <c r="CM6" s="20" t="s">
        <v>27</v>
      </c>
      <c r="CN6" s="20" t="s">
        <v>28</v>
      </c>
      <c r="CO6" s="20" t="s">
        <v>16</v>
      </c>
      <c r="CP6" s="20"/>
      <c r="CQ6" s="20" t="s">
        <v>23</v>
      </c>
      <c r="CR6" s="20" t="s">
        <v>24</v>
      </c>
      <c r="CS6" s="20" t="s">
        <v>25</v>
      </c>
      <c r="CT6" s="20" t="s">
        <v>26</v>
      </c>
      <c r="CU6" s="20" t="s">
        <v>27</v>
      </c>
      <c r="CV6" s="20" t="s">
        <v>28</v>
      </c>
      <c r="CW6" s="20" t="s">
        <v>16</v>
      </c>
      <c r="CX6" s="20"/>
      <c r="CY6" s="20" t="s">
        <v>23</v>
      </c>
      <c r="CZ6" s="20" t="s">
        <v>24</v>
      </c>
      <c r="DA6" s="20" t="s">
        <v>25</v>
      </c>
      <c r="DB6" s="20" t="s">
        <v>26</v>
      </c>
      <c r="DC6" s="20" t="s">
        <v>27</v>
      </c>
      <c r="DD6" s="20" t="s">
        <v>28</v>
      </c>
      <c r="DE6" s="20" t="s">
        <v>16</v>
      </c>
      <c r="DF6" s="20"/>
      <c r="DG6" s="20" t="s">
        <v>23</v>
      </c>
      <c r="DH6" s="20" t="s">
        <v>24</v>
      </c>
      <c r="DI6" s="20" t="s">
        <v>27</v>
      </c>
      <c r="DJ6" s="20" t="s">
        <v>28</v>
      </c>
      <c r="DK6" s="20"/>
      <c r="DL6" s="20" t="s">
        <v>23</v>
      </c>
      <c r="DM6" s="20" t="s">
        <v>24</v>
      </c>
      <c r="DN6" s="20" t="s">
        <v>27</v>
      </c>
      <c r="DO6" s="20" t="s">
        <v>28</v>
      </c>
      <c r="DP6" s="20"/>
      <c r="DQ6" s="20" t="s">
        <v>23</v>
      </c>
      <c r="DR6" s="20" t="s">
        <v>24</v>
      </c>
      <c r="DS6" s="20" t="s">
        <v>27</v>
      </c>
      <c r="DT6" s="20" t="s">
        <v>28</v>
      </c>
      <c r="DU6" s="20"/>
      <c r="DV6" s="20" t="s">
        <v>23</v>
      </c>
      <c r="DW6" s="20" t="s">
        <v>24</v>
      </c>
      <c r="DX6" s="20" t="s">
        <v>27</v>
      </c>
      <c r="DY6" s="20" t="s">
        <v>28</v>
      </c>
      <c r="DZ6" s="20"/>
      <c r="EA6" s="20" t="s">
        <v>23</v>
      </c>
      <c r="EB6" s="20" t="s">
        <v>24</v>
      </c>
      <c r="EC6" s="20" t="s">
        <v>27</v>
      </c>
      <c r="ED6" s="20" t="s">
        <v>28</v>
      </c>
      <c r="EE6" s="20"/>
      <c r="EF6" s="20" t="s">
        <v>29</v>
      </c>
      <c r="EG6" s="20" t="s">
        <v>30</v>
      </c>
      <c r="EH6" s="20" t="s">
        <v>31</v>
      </c>
      <c r="EI6" s="20" t="s">
        <v>32</v>
      </c>
      <c r="EJ6" s="20" t="s">
        <v>33</v>
      </c>
      <c r="EK6" s="20"/>
      <c r="EL6" s="20" t="s">
        <v>23</v>
      </c>
      <c r="EM6" s="20" t="s">
        <v>24</v>
      </c>
      <c r="EN6" s="20" t="s">
        <v>27</v>
      </c>
      <c r="EO6" s="20" t="s">
        <v>28</v>
      </c>
      <c r="EP6" s="20" t="s">
        <v>16</v>
      </c>
      <c r="EQ6" s="20"/>
      <c r="ER6" s="20" t="s">
        <v>23</v>
      </c>
      <c r="ES6" s="20" t="s">
        <v>24</v>
      </c>
      <c r="ET6" s="20" t="s">
        <v>27</v>
      </c>
      <c r="EU6" s="20" t="s">
        <v>28</v>
      </c>
      <c r="EV6" s="20" t="s">
        <v>16</v>
      </c>
      <c r="EW6" s="20"/>
      <c r="EX6" s="20" t="s">
        <v>23</v>
      </c>
      <c r="EY6" s="21" t="s">
        <v>24</v>
      </c>
      <c r="EZ6" s="21" t="s">
        <v>27</v>
      </c>
      <c r="FA6" s="21" t="s">
        <v>28</v>
      </c>
      <c r="FB6" s="21" t="s">
        <v>16</v>
      </c>
      <c r="FC6" s="20"/>
      <c r="FD6" s="20" t="s">
        <v>23</v>
      </c>
      <c r="FE6" s="21" t="s">
        <v>24</v>
      </c>
      <c r="FF6" s="21" t="s">
        <v>27</v>
      </c>
      <c r="FG6" s="21" t="s">
        <v>28</v>
      </c>
      <c r="FH6" s="21" t="s">
        <v>16</v>
      </c>
      <c r="FI6" s="20"/>
      <c r="FJ6" s="20" t="s">
        <v>23</v>
      </c>
      <c r="FK6" s="21" t="s">
        <v>24</v>
      </c>
      <c r="FL6" s="21" t="s">
        <v>27</v>
      </c>
      <c r="FM6" s="21" t="s">
        <v>28</v>
      </c>
      <c r="FN6" s="21" t="s">
        <v>16</v>
      </c>
      <c r="FO6" s="8"/>
      <c r="FP6" s="16" t="s">
        <v>29</v>
      </c>
      <c r="FQ6" s="16" t="s">
        <v>30</v>
      </c>
      <c r="FR6" s="16" t="s">
        <v>31</v>
      </c>
      <c r="FS6" s="16" t="s">
        <v>34</v>
      </c>
      <c r="FT6" s="22" t="s">
        <v>16</v>
      </c>
      <c r="FU6" s="16"/>
      <c r="FV6" s="16" t="s">
        <v>29</v>
      </c>
      <c r="FW6" s="16" t="s">
        <v>30</v>
      </c>
      <c r="FX6" s="16" t="s">
        <v>31</v>
      </c>
      <c r="FY6" s="16" t="s">
        <v>34</v>
      </c>
      <c r="FZ6" s="16" t="s">
        <v>16</v>
      </c>
      <c r="GB6" s="16" t="s">
        <v>29</v>
      </c>
      <c r="GC6" s="16" t="s">
        <v>30</v>
      </c>
      <c r="GD6" s="16" t="s">
        <v>31</v>
      </c>
      <c r="GE6" s="16" t="s">
        <v>34</v>
      </c>
      <c r="GF6" s="16" t="s">
        <v>16</v>
      </c>
      <c r="GG6" s="16"/>
      <c r="GH6" s="16" t="s">
        <v>29</v>
      </c>
      <c r="GI6" s="16" t="s">
        <v>30</v>
      </c>
      <c r="GJ6" s="16" t="s">
        <v>31</v>
      </c>
      <c r="GK6" s="16" t="s">
        <v>34</v>
      </c>
      <c r="GL6" s="16" t="s">
        <v>16</v>
      </c>
    </row>
    <row r="7" spans="1:197" s="55" customFormat="1" x14ac:dyDescent="0.25">
      <c r="A7" s="51" t="s">
        <v>237</v>
      </c>
      <c r="B7" s="51"/>
      <c r="C7" s="52">
        <f t="shared" ref="C7" si="0">IF(SUM(S7,AA7,AI7,AY7)&lt;=0,"-",SUM(S7,AA7,AI7,AQ7,AY7))</f>
        <v>2336.3559999999998</v>
      </c>
      <c r="D7" s="52">
        <f t="shared" ref="D7:I7" si="1">IF(SUM(T7,AB7,AJ7,AR7,AZ7)&lt;=0,"-",SUM(T7,AB7,AJ7,AR7,AZ7))</f>
        <v>227.40500000000003</v>
      </c>
      <c r="E7" s="52">
        <f>IF(SUM(W7,AC7,AK7,AS7,BA7)&lt;=0,"-",SUM(W7,AC7,AK7,AS7,BA7))</f>
        <v>3.383</v>
      </c>
      <c r="F7" s="52" t="str">
        <f t="shared" si="1"/>
        <v>-</v>
      </c>
      <c r="G7" s="52">
        <f>IF(SUM(AE7,AM7,AU7,BC7)&lt;=0,"-",SUM(AE7,AM7,AU7,BC7))</f>
        <v>17.238</v>
      </c>
      <c r="H7" s="52">
        <f t="shared" si="1"/>
        <v>0.32</v>
      </c>
      <c r="I7" s="52">
        <f t="shared" si="1"/>
        <v>2584.7020000000002</v>
      </c>
      <c r="J7" s="52"/>
      <c r="K7" s="52">
        <f>IF(SUM(S7,AA7,AI7,AQ7)&lt;=0,"-",SUM(S7,AA7,AI7,AQ7))</f>
        <v>2336.3559999999998</v>
      </c>
      <c r="L7" s="52">
        <f t="shared" ref="L7:Q7" si="2">IF(SUM(T7,AB7,AJ7,AR7)&lt;=0,"-",SUM(T7,AB7,AJ7,AR7))</f>
        <v>227.40500000000003</v>
      </c>
      <c r="M7" s="52">
        <f>IF(SUM(W7,AC7,AK7,AS7)&lt;=0,"-",SUM(W7,AC7,AK7,AS7))</f>
        <v>3.383</v>
      </c>
      <c r="N7" s="52" t="str">
        <f t="shared" si="2"/>
        <v>-</v>
      </c>
      <c r="O7" s="52">
        <f>IF(SUM(AE7,AM7,AU7)&lt;=0,"-",SUM(AE7,AM7,AU7))</f>
        <v>17.238</v>
      </c>
      <c r="P7" s="52">
        <f t="shared" si="2"/>
        <v>0.32</v>
      </c>
      <c r="Q7" s="52">
        <f t="shared" si="2"/>
        <v>2584.7020000000002</v>
      </c>
      <c r="R7" s="52"/>
      <c r="S7" s="53">
        <v>336.666</v>
      </c>
      <c r="T7" s="54">
        <v>12.233000000000001</v>
      </c>
      <c r="V7" s="56"/>
      <c r="W7" s="57">
        <v>3.383</v>
      </c>
      <c r="X7" s="56"/>
      <c r="Y7" s="58">
        <f>SUM(S7:T7,W7:X7)</f>
        <v>352.28199999999998</v>
      </c>
      <c r="Z7" s="59"/>
      <c r="AA7" s="53">
        <f>93.468+234.337+0.872</f>
        <v>328.67700000000002</v>
      </c>
      <c r="AB7" s="53">
        <f>12.831+1.681+0.026</f>
        <v>14.538</v>
      </c>
      <c r="AC7" s="56"/>
      <c r="AD7" s="56"/>
      <c r="AE7" s="60">
        <f>2.228+0.152+0.002</f>
        <v>2.3820000000000001</v>
      </c>
      <c r="AF7" s="56">
        <v>0</v>
      </c>
      <c r="AG7" s="61">
        <f t="shared" ref="AG7" si="3">SUM(AA7:AB7,AE7:AF7)</f>
        <v>345.59700000000004</v>
      </c>
      <c r="AH7" s="59"/>
      <c r="AI7" s="62">
        <f>387.563+253.062+9.536</f>
        <v>650.16099999999994</v>
      </c>
      <c r="AJ7" s="62">
        <f>126.287+45.851+3.157</f>
        <v>175.29500000000002</v>
      </c>
      <c r="AK7" s="56"/>
      <c r="AL7" s="56"/>
      <c r="AM7" s="62">
        <f>12.961+0.888+0.252</f>
        <v>14.101000000000001</v>
      </c>
      <c r="AN7" s="62">
        <f>0.277+0.001+0.001</f>
        <v>0.27900000000000003</v>
      </c>
      <c r="AO7" s="59">
        <f t="shared" ref="AO7" si="4">SUM(AI7:AJ7,AM7:AN7)</f>
        <v>839.8359999999999</v>
      </c>
      <c r="AP7" s="59"/>
      <c r="AQ7" s="62">
        <f>52.223+79.645+768.216+117.086+3.682</f>
        <v>1020.8520000000001</v>
      </c>
      <c r="AR7" s="62">
        <f>11.834+2.004+3.975+6.685+0.841</f>
        <v>25.338999999999999</v>
      </c>
      <c r="AS7" s="56"/>
      <c r="AT7" s="56"/>
      <c r="AU7" s="62">
        <f>0.523+0.177+0.04+0.015</f>
        <v>0.755</v>
      </c>
      <c r="AV7" s="62">
        <f>0.04+0.001</f>
        <v>4.1000000000000002E-2</v>
      </c>
      <c r="AW7" s="59">
        <f t="shared" ref="AW7" si="5">SUM(AQ7:AR7,AU7:AV7)</f>
        <v>1046.9870000000001</v>
      </c>
      <c r="AX7" s="59"/>
      <c r="AY7" s="26" t="s">
        <v>36</v>
      </c>
      <c r="AZ7" s="26" t="s">
        <v>36</v>
      </c>
      <c r="BA7" s="26" t="s">
        <v>36</v>
      </c>
      <c r="BB7" s="26" t="s">
        <v>36</v>
      </c>
      <c r="BC7" s="26" t="s">
        <v>36</v>
      </c>
      <c r="BD7" s="26" t="s">
        <v>36</v>
      </c>
      <c r="BE7" s="59">
        <f t="shared" ref="BE7" si="6">SUM(AY7:AZ7,BC7:BD7)</f>
        <v>0</v>
      </c>
      <c r="BF7" s="59"/>
      <c r="BG7" s="52">
        <f>IF(SUM(BS7,CA7,CI7,CY7,CQ7)&lt;=0,"-",SUM(BS7,CA7,CI7,CY7,CQ7))</f>
        <v>2414</v>
      </c>
      <c r="BH7" s="52">
        <f>IF(SUM(BT7,CB7,CJ7,CZ7,CR7)&lt;=0,"-",SUM(BT7,CB7,CJ7,CZ7,CR7))</f>
        <v>5445</v>
      </c>
      <c r="BI7" s="52">
        <f>IF(SUM(BW7,CE7,CM7,DC7,CU7)&lt;=0,"-",SUM(BW7,CE7,CM7,DC7,CU7))</f>
        <v>7585</v>
      </c>
      <c r="BJ7" s="52">
        <f>IF(SUM(BX7,CF7,CN7,DD7,CV7)&lt;=0,"-",SUM(BX7,CF7,CN7,DD7,CV7))</f>
        <v>122</v>
      </c>
      <c r="BK7" s="52">
        <f>IF(SUM(BY7,CG7,CO7,DE7,CW7)&lt;=0,"-",SUM(BY7,CG7,CO7,DE7,CW7))</f>
        <v>15566</v>
      </c>
      <c r="BL7" s="52"/>
      <c r="BM7" s="52">
        <f>IF(SUM(BS7,CA7,CI7,CQ7)&lt;=0,"-",SUM(BS7,CA7,CI7,CQ7))</f>
        <v>2414</v>
      </c>
      <c r="BN7" s="52">
        <f>IF(SUM(BT7,CB7,CJ7,CR7)&lt;=0,"-",SUM(BT7,CB7,CJ7,CR7))</f>
        <v>5445</v>
      </c>
      <c r="BO7" s="52">
        <f>IF(SUM(BW7,CE7,CM7,CU7)&lt;=0,"-",SUM(BW7,CE7,CM7,CU7))</f>
        <v>7585</v>
      </c>
      <c r="BP7" s="52">
        <f>IF(SUM(BX7,CF7,CN7,CV7)&lt;=0,"-",SUM(BX7,CF7,CN7,CV7))</f>
        <v>122</v>
      </c>
      <c r="BQ7" s="52">
        <f>IF(SUM(BY7,CG7,CO7,CW7)&lt;=0,"-",SUM(BY7,CG7,CO7,CW7))</f>
        <v>15566</v>
      </c>
      <c r="BR7" s="52"/>
      <c r="BS7" s="53">
        <f>125</f>
        <v>125</v>
      </c>
      <c r="BT7" s="53">
        <v>188</v>
      </c>
      <c r="BU7" s="56"/>
      <c r="BV7" s="56"/>
      <c r="BW7" s="60">
        <v>442</v>
      </c>
      <c r="BX7" s="56"/>
      <c r="BY7" s="59">
        <f>SUM(BS7:BT7,BW7:BX7)</f>
        <v>755</v>
      </c>
      <c r="BZ7" s="59"/>
      <c r="CA7" s="53">
        <f>39+702</f>
        <v>741</v>
      </c>
      <c r="CB7" s="53">
        <f>1+1+2214</f>
        <v>2216</v>
      </c>
      <c r="CC7" s="56"/>
      <c r="CD7" s="56"/>
      <c r="CE7" s="60">
        <f>1060</f>
        <v>1060</v>
      </c>
      <c r="CF7" s="56"/>
      <c r="CG7" s="59">
        <f>SUM(CA7:CB7,CE7:CF7)</f>
        <v>4017</v>
      </c>
      <c r="CH7" s="59"/>
      <c r="CI7" s="53">
        <f>1101+236+35</f>
        <v>1372</v>
      </c>
      <c r="CJ7" s="53">
        <f>2444+338+54</f>
        <v>2836</v>
      </c>
      <c r="CK7" s="56"/>
      <c r="CL7" s="56"/>
      <c r="CM7" s="53">
        <f>5837+75+25</f>
        <v>5937</v>
      </c>
      <c r="CN7" s="53">
        <f>112+1</f>
        <v>113</v>
      </c>
      <c r="CO7" s="59">
        <f t="shared" ref="CO7" si="7">SUM(CI7:CJ7,CM7:CN7)</f>
        <v>10258</v>
      </c>
      <c r="CP7" s="59"/>
      <c r="CQ7" s="53">
        <f>46+33+80+15+2</f>
        <v>176</v>
      </c>
      <c r="CR7" s="53">
        <f>119+9+44+26+7</f>
        <v>205</v>
      </c>
      <c r="CS7" s="56"/>
      <c r="CT7" s="56"/>
      <c r="CU7" s="53">
        <f>100+42+3+1</f>
        <v>146</v>
      </c>
      <c r="CV7" s="53">
        <f>9</f>
        <v>9</v>
      </c>
      <c r="CW7" s="59">
        <f t="shared" ref="CW7" si="8">SUM(CQ7:CR7,CU7:CV7)</f>
        <v>536</v>
      </c>
      <c r="CX7" s="59"/>
      <c r="CY7" s="53"/>
      <c r="CZ7" s="53"/>
      <c r="DA7" s="56"/>
      <c r="DB7" s="56"/>
      <c r="DC7" s="53"/>
      <c r="DD7" s="56"/>
      <c r="DE7" s="59">
        <f>SUM(CY7:CZ7,DC7:DD7)</f>
        <v>0</v>
      </c>
      <c r="DF7" s="59"/>
      <c r="DG7" s="63">
        <f>IF(ISERROR(K7/$Q7),"-",IF(K7/$Q7&lt;=0,"-",K7/$Q7))</f>
        <v>0.90391696992535298</v>
      </c>
      <c r="DH7" s="63">
        <f>IF(ISERROR(L7/$Q7),"-",IF(L7/$Q7&lt;=0,"-",L7/$Q7))</f>
        <v>8.7981128965737634E-2</v>
      </c>
      <c r="DI7" s="63">
        <f>IF(ISERROR(O7/$Q7),"-",IF(O7/$Q7&lt;=0,"-",O7/$Q7))</f>
        <v>6.6692407867522049E-3</v>
      </c>
      <c r="DJ7" s="64">
        <f t="shared" ref="DJ7" si="9">IF(ISERROR(P7/$Q7),"-",IF(P7/$Q7&lt;=0,"-",P7/$Q7))</f>
        <v>1.2380537485559264E-4</v>
      </c>
      <c r="DK7" s="59"/>
      <c r="DL7" s="63">
        <f t="shared" ref="DL7:DM7" si="10">IF(ISERROR(S7/$Y7),"-",IF(S7/$Y7&lt;=0,"-",S7/$Y7))</f>
        <v>0.95567187650802488</v>
      </c>
      <c r="DM7" s="63">
        <f t="shared" si="10"/>
        <v>3.4725021431693932E-2</v>
      </c>
      <c r="DN7" s="63" t="str">
        <f>IF(ISERROR(#REF!/$Y7),"-",IF(#REF!/$Y7&lt;=0,"-",#REF!/$Y7))</f>
        <v>-</v>
      </c>
      <c r="DO7" s="63" t="str">
        <f t="shared" ref="DO7" si="11">IF(ISERROR(X7/$Y7),"-",IF(X7/$Y7&lt;=0,"-",X7/$Y7))</f>
        <v>-</v>
      </c>
      <c r="DP7" s="59"/>
      <c r="DQ7" s="63">
        <f t="shared" ref="DQ7:DR7" si="12">IF(ISERROR(AA7/$AG7),"-",IF(AA7/$AG7&lt;=0,"-",AA7/$AG7))</f>
        <v>0.95104124167744508</v>
      </c>
      <c r="DR7" s="63">
        <f t="shared" si="12"/>
        <v>4.2066337381400878E-2</v>
      </c>
      <c r="DS7" s="63">
        <f t="shared" ref="DS7:DT7" si="13">IF(ISERROR(AE7/$AG7),"-",IF(AE7/$AG7&lt;=0,"-",AE7/$AG7))</f>
        <v>6.8924209411540026E-3</v>
      </c>
      <c r="DT7" s="63" t="str">
        <f t="shared" si="13"/>
        <v>-</v>
      </c>
      <c r="DU7" s="59"/>
      <c r="DV7" s="63">
        <f t="shared" ref="DV7:DW7" si="14">IF(ISERROR(AI7/$AO7),"-",IF(AI7/$AO7&lt;=0,"-",AI7/$AO7))</f>
        <v>0.77415233450340304</v>
      </c>
      <c r="DW7" s="63">
        <f t="shared" si="14"/>
        <v>0.20872527493463014</v>
      </c>
      <c r="DX7" s="63">
        <f t="shared" ref="DX7:DY7" si="15">IF(ISERROR(AM7/$AM7),"-",IF(AM7/$AO7&lt;=0,"-",AM7/$AO7))</f>
        <v>1.6790182845222164E-2</v>
      </c>
      <c r="DY7" s="63">
        <f t="shared" si="15"/>
        <v>3.3220771674469783E-4</v>
      </c>
      <c r="DZ7" s="59"/>
      <c r="EA7" s="63">
        <f>IF(ISERROR(AQ7/$AW7),"-",IF(AQ7/$AW7&lt;=0,"-",AQ7/$AW7))</f>
        <v>0.97503789445332179</v>
      </c>
      <c r="EB7" s="63">
        <f>IF(ISERROR(AR7/$AW7),"-",IF(AR7/$AW7&lt;=0,"-",AR7/$AW7))</f>
        <v>2.420182867600075E-2</v>
      </c>
      <c r="EC7" s="63">
        <f>IF(ISERROR(AU7/$AW7),"-",IF(AU7/$AW7&lt;=0,"-",AU7/$AW7))</f>
        <v>7.2111688110740627E-4</v>
      </c>
      <c r="ED7" s="63">
        <f>IF(ISERROR(AV7/$AW7),"-",IF(AV7/$AW7&lt;=0,"-",AV7/$AW7))</f>
        <v>3.9159989570071071E-5</v>
      </c>
      <c r="EE7" s="59"/>
      <c r="EF7" s="65">
        <f>IF(ISERROR(V7/T7),"-",V7/T7)</f>
        <v>0</v>
      </c>
      <c r="EG7" s="65">
        <f>IF(ISERROR(AD7/AB7),"-",AD7/AB7)</f>
        <v>0</v>
      </c>
      <c r="EH7" s="65">
        <f>IF(ISERROR(AL7/AJ7),"-",AL7/AJ7)</f>
        <v>0</v>
      </c>
      <c r="EI7" s="65">
        <f>IF(ISERROR(AT7/AR7),"-",AT7/AR7)</f>
        <v>0</v>
      </c>
      <c r="EJ7" s="65" t="str">
        <f>IF(ISERROR(N7/L7),"-",N7/L7)</f>
        <v>-</v>
      </c>
      <c r="EK7" s="59"/>
      <c r="EL7" s="66">
        <f>IF(ISERROR(BM7/K7/1000),"-",IF((BM7/K7/1000)&lt;=0,"-",BM7/K7/1000))</f>
        <v>1.0332329490882384E-3</v>
      </c>
      <c r="EM7" s="66">
        <f>IF(ISERROR(BN7/L7/1000),"-",IF((BN7/L7/1000)&lt;=0,"-",BN7/L7/1000))</f>
        <v>2.3944064554429316E-2</v>
      </c>
      <c r="EN7" s="66">
        <f>IF(ISERROR(BO7/O7/1000),"-",IF((BO7/O7/1000)&lt;=0,"-",BO7/O7/1000))</f>
        <v>0.440016243183664</v>
      </c>
      <c r="EO7" s="66">
        <f>IF(ISERROR(BP7/P7/1000),"-",IF((BP7/P7/1000)&lt;=0,"-",BP7/P7/1000))</f>
        <v>0.38124999999999998</v>
      </c>
      <c r="EP7" s="66">
        <f>IF(ISERROR(BQ7/Q7/1000),"-",IF((BQ7/Q7/1000)&lt;=0,"-",BQ7/Q7/1000))</f>
        <v>6.0223577031317333E-3</v>
      </c>
      <c r="EQ7" s="52"/>
      <c r="ER7" s="66">
        <f>IF(OR(BS7=0,S7=0),"-",IF(ISERROR(BS7/S7/1000),"-",IF((BS7/S7/1000)&lt;=0,"-",BS7/S7/1000)))</f>
        <v>3.7128786393636427E-4</v>
      </c>
      <c r="ES7" s="67">
        <f>IF(OR(BT7=0,T7=0),"-",IF(ISERROR(BT7/T7/1000),"-",IF((BT7/T7/1000)&lt;=0,"-",BT7/T7/1000)))</f>
        <v>1.5368266165290606E-2</v>
      </c>
      <c r="ET7" s="67">
        <f>IF(OR(BW7=0,W7=0),"-",IF(ISERROR(BW7/W7/1000),"-",IF((BW7/W7/1000)&lt;=0,"-",BW7/W7/1000)))</f>
        <v>0.1306532663316583</v>
      </c>
      <c r="EU7" s="67" t="str">
        <f>IF(OR(BX7=0,X7=0),"-",IF(ISERROR(BX7/X7/1000),"-",IF((BX7/X7/1000)&lt;=0,"-",BX7/X7/1000)))</f>
        <v>-</v>
      </c>
      <c r="EV7" s="67">
        <f>IF(OR(BY7=0,Y7=0),"-",IF(ISERROR(BY7/Y7/1000),"-",IF((BY7/Y7/1000)&lt;=0,"-",BY7/Y7/1000)))</f>
        <v>2.1431693927024377E-3</v>
      </c>
      <c r="EW7" s="59"/>
      <c r="EX7" s="66">
        <f>IF(OR(CA7=0,AA7=0),"-",IF(ISERROR(CA7/AA7/1000),"-",IF((CA7/AA7/1000)&lt;=0,"-",CA7/AA7/1000)))</f>
        <v>2.2544930128971601E-3</v>
      </c>
      <c r="EY7" s="67">
        <f>IF(OR(CB7=0,AB7=0),"-",IF(ISERROR(CB7/AB7/1000),"-",IF((CB7/AB7/1000)&lt;=0,"-",CB7/AB7/1000)))</f>
        <v>0.15242811941119822</v>
      </c>
      <c r="EZ7" s="67">
        <f>IF(OR(CE7=0,AE7=0),"-",IF(ISERROR(CE7/AE7/1000),"-",IF((CE7/AE7/1000)&lt;=0,"-",CE7/AE7/1000)))</f>
        <v>0.44500419815281278</v>
      </c>
      <c r="FA7" s="67" t="str">
        <f>IF(OR(CF7=0,AF7=0),"-",IF(ISERROR(CF7/AF7/1000),"-",IF((CF7/AF7/1000)&lt;=0,"-",CF7/AF7/1000)))</f>
        <v>-</v>
      </c>
      <c r="FB7" s="67">
        <f>IF(OR(CG7=0,AG7=0),"-",IF(ISERROR(CG7/AG7/1000),"-",IF((CG7/AG7/1000)&lt;=0,"-",CG7/AG7/1000)))</f>
        <v>1.1623364786152656E-2</v>
      </c>
      <c r="FC7" s="59"/>
      <c r="FD7" s="66">
        <f>IF(OR(CI7=0,AI7=0),"-",IF(ISERROR(CI7/AI7/1000),"-",IF((CI7/AI7/1000)&lt;=0,"-",CI7/AI7/1000)))</f>
        <v>2.1102465389342025E-3</v>
      </c>
      <c r="FE7" s="67">
        <f>IF(OR(CJ7=0,AJ7=0),"-",IF(ISERROR(CJ7/AJ7/1000),"-",IF((CJ7/AJ7/1000)&lt;=0,"-",CJ7/AJ7/1000)))</f>
        <v>1.617844205482187E-2</v>
      </c>
      <c r="FF7" s="67">
        <f>IF(OR(CM7=0,AM7=0),"-",IF(ISERROR(CM7/AM7/1000),"-",IF((CM7/AM7/1000)&lt;=0,"-",CM7/AM7/1000)))</f>
        <v>0.421033969222041</v>
      </c>
      <c r="FG7" s="67">
        <f>IF(OR(CN7=0,AN7=0),"-",IF(ISERROR(CN7/AN7/1000),"-",IF((CN7/AN7/1000)&lt;=0,"-",CN7/AN7/1000)))</f>
        <v>0.4050179211469534</v>
      </c>
      <c r="FH7" s="67">
        <f>IF(OR(CO7=0,AO7=0),"-",IF(ISERROR(CO7/AO7/1000),"-",IF((CO7/AO7/1000)&lt;=0,"-",CO7/AO7/1000)))</f>
        <v>1.221428945651294E-2</v>
      </c>
      <c r="FI7" s="59"/>
      <c r="FJ7" s="66">
        <f>IF(OR(CQ7=0,AQ7=0),"-",IF(ISERROR(CQ7/AQ7/1000),"-",IF((CQ7/AQ7/1000)&lt;=0,"-",CQ7/AQ7/1000)))</f>
        <v>1.7240501071653873E-4</v>
      </c>
      <c r="FK7" s="66">
        <f>IF(OR(CR7=0,AR7=0),"-",IF(ISERROR(CR7/AR7/1000),"-",IF((CR7/AR7/1000)&lt;=0,"-",CR7/AR7/1000)))</f>
        <v>8.0902955917755235E-3</v>
      </c>
      <c r="FL7" s="66">
        <f>IF(OR(CU7=0,AU7=0),"-",IF(ISERROR(CU7/AU7/1000),"-",IF((CU7/AU7/1000)&lt;=0,"-",CU7/AU7/1000)))</f>
        <v>0.19337748344370859</v>
      </c>
      <c r="FM7" s="66">
        <f>IF(OR(CV7=0,AV7=0),"-",IF(ISERROR(CV7/AV7/1000),"-",IF((CV7/AV7/1000)&lt;=0,"-",CV7/AV7/1000)))</f>
        <v>0.21951219512195122</v>
      </c>
      <c r="FN7" s="66">
        <f>IF(OR(CW7=0,AW7=0),"-",IF(ISERROR(CW7/AW7/1000),"-",IF((CW7/AW7/1000)&lt;=0,"-",CW7/AW7/1000)))</f>
        <v>5.1194522950141687E-4</v>
      </c>
      <c r="FP7" s="60"/>
      <c r="FQ7" s="60"/>
      <c r="FR7" s="60"/>
      <c r="FS7" s="60"/>
      <c r="FT7" s="68">
        <f t="shared" ref="FT7" si="16">SUM(FP7:FS7)</f>
        <v>0</v>
      </c>
      <c r="FV7" s="69" t="str">
        <f>IF(ISERROR(FP7/$Y7/1000),"-",IF(FP7/$Y7/1000=0,"-",FP7/$Y7/1000))</f>
        <v>-</v>
      </c>
      <c r="FW7" s="69" t="str">
        <f>IF(ISERROR(FQ7/$AG7/1000),"-",IF(FQ7/$AG7/1000=0,"-",FQ7/$AG7/1000))</f>
        <v>-</v>
      </c>
      <c r="FX7" s="69" t="str">
        <f>IF(ISERROR(FR7/$AO7/1000),"-",IF(FR7/$AO7/1000=0,"-",FR7/$AO7/1000))</f>
        <v>-</v>
      </c>
      <c r="FY7" s="69" t="str">
        <f>IF(ISERROR(FS7/$AW7/1000),"-",IF(FS7/$AW7/1000=0,"-",FS7/$AW7/1000))</f>
        <v>-</v>
      </c>
      <c r="FZ7" s="69" t="str">
        <f>IF(ISERROR(FT7/$Q7/1000),"-",IF(FT7/$Q7/1000=0,"-",FT7/$Q7/1000))</f>
        <v>-</v>
      </c>
      <c r="GB7" s="60"/>
      <c r="GC7" s="60"/>
      <c r="GD7" s="60"/>
      <c r="GE7" s="60"/>
      <c r="GF7" s="70"/>
      <c r="GH7" s="69" t="str">
        <f>IF(ISERROR(GB7/$Y7/1000),"-",IF(GB7/$Y7/1000=0,"-",GB7/$Y7/1000))</f>
        <v>-</v>
      </c>
      <c r="GI7" s="69" t="str">
        <f>IF(ISERROR(GC7/$AG7/1000),"-",IF(GC7/$AG7/1000=0,"-",GC7/$AG7/1000))</f>
        <v>-</v>
      </c>
      <c r="GJ7" s="69" t="str">
        <f>IF(ISERROR(GD7/$AO7/1000),"-",IF(GD7/$AO7/1000=0,"-",GD7/$AO7/1000))</f>
        <v>-</v>
      </c>
      <c r="GK7" s="69" t="str">
        <f>IF(ISERROR(GE7/$AW7/1000),"-",IF(GE7/$AW7/1000=0,"-",GE7/$AW7/1000))</f>
        <v>-</v>
      </c>
      <c r="GL7" s="69" t="str">
        <f>IF(ISERROR(GF7/$Q7/1000),"-",IF(GF7/$Q7/1000=0,"-",GF7/$Q7/1000))</f>
        <v>-</v>
      </c>
      <c r="GN7" s="71">
        <f>Y7/SUM(Y7,AG7,AO7)</f>
        <v>0.22909446809064099</v>
      </c>
    </row>
    <row r="8" spans="1:197" x14ac:dyDescent="0.25">
      <c r="A8" s="23" t="s">
        <v>38</v>
      </c>
      <c r="B8" s="23"/>
      <c r="C8" s="24">
        <f t="shared" ref="C8:I11" si="17">IF(SUM(S8,AA8,AI8,AY8)&lt;=0,"-",SUM(S8,AA8,AI8,AQ8,AY8))</f>
        <v>450.101</v>
      </c>
      <c r="D8" s="24">
        <f t="shared" si="17"/>
        <v>51.658999999999999</v>
      </c>
      <c r="E8" s="24">
        <f>IF(SUM(V8,AC8,AK8,BA8)&lt;=0,"-",SUM(V8,AC8,AK8,AS8,BA8))</f>
        <v>23.9</v>
      </c>
      <c r="F8" s="24">
        <f t="shared" si="17"/>
        <v>2.1740000000000004</v>
      </c>
      <c r="G8" s="24">
        <f t="shared" si="17"/>
        <v>6.49</v>
      </c>
      <c r="H8" s="24">
        <f t="shared" si="17"/>
        <v>12.510999999999999</v>
      </c>
      <c r="I8" s="24">
        <f t="shared" si="17"/>
        <v>520.76100000000008</v>
      </c>
      <c r="J8" s="34"/>
      <c r="K8" s="24">
        <f t="shared" ref="K8:Q11" si="18">IF(SUM(S8,AA8,AI8,AQ8)&lt;=0,"-",SUM(S8,AA8,AI8,AQ8))</f>
        <v>433.94299999999998</v>
      </c>
      <c r="L8" s="24">
        <f t="shared" si="18"/>
        <v>51.658999999999999</v>
      </c>
      <c r="M8" s="24">
        <f>IF(SUM(V8,AC8,AK8,AS8)&lt;=0,"-",SUM(V8,AC8,AK8,AS8))</f>
        <v>23.9</v>
      </c>
      <c r="N8" s="24">
        <f t="shared" si="18"/>
        <v>2.1740000000000004</v>
      </c>
      <c r="O8" s="24">
        <f t="shared" si="18"/>
        <v>6.49</v>
      </c>
      <c r="P8" s="24">
        <f t="shared" si="18"/>
        <v>12.510999999999999</v>
      </c>
      <c r="Q8" s="24">
        <f t="shared" si="18"/>
        <v>504.60300000000007</v>
      </c>
      <c r="R8" s="34"/>
      <c r="S8" s="26">
        <f>251418/1000</f>
        <v>251.41800000000001</v>
      </c>
      <c r="T8" s="26">
        <f>29018/1000</f>
        <v>29.018000000000001</v>
      </c>
      <c r="U8" s="26">
        <f>T8-V8</f>
        <v>27.295000000000002</v>
      </c>
      <c r="V8" s="26">
        <f>1723/1000</f>
        <v>1.7230000000000001</v>
      </c>
      <c r="W8" s="26">
        <f>1859/1000</f>
        <v>1.859</v>
      </c>
      <c r="X8" s="26">
        <f>12511/1000</f>
        <v>12.510999999999999</v>
      </c>
      <c r="Y8" s="25">
        <f t="shared" ref="Y8:Y11" si="19">SUM(S8:T8,W8:X8)</f>
        <v>294.80600000000004</v>
      </c>
      <c r="Z8" s="25"/>
      <c r="AA8" s="26">
        <f>(11496+7710+12786+17879)/1000</f>
        <v>49.871000000000002</v>
      </c>
      <c r="AB8" s="26">
        <f>(3273+1519+2216+1304)/1000</f>
        <v>8.3119999999999994</v>
      </c>
      <c r="AC8" s="26">
        <f>AB8-AD8</f>
        <v>8.1189999999999998</v>
      </c>
      <c r="AD8" s="26">
        <f>(36+46+39+72)/1000</f>
        <v>0.193</v>
      </c>
      <c r="AE8" s="26">
        <f>(340+307+199+184)/1000</f>
        <v>1.03</v>
      </c>
      <c r="AF8" s="26" t="s">
        <v>35</v>
      </c>
      <c r="AG8" s="25">
        <f t="shared" ref="AG8:AG11" si="20">SUM(AA8:AB8,AE8:AF8)</f>
        <v>59.213000000000001</v>
      </c>
      <c r="AH8" s="25"/>
      <c r="AI8" s="26">
        <f>(27015+43543)/1000</f>
        <v>70.558000000000007</v>
      </c>
      <c r="AJ8" s="26">
        <f>(4500+9816)/1000</f>
        <v>14.316000000000001</v>
      </c>
      <c r="AK8" s="26">
        <f>AJ8-AL8</f>
        <v>14.058</v>
      </c>
      <c r="AL8" s="26">
        <f>(81+177)/1000</f>
        <v>0.25800000000000001</v>
      </c>
      <c r="AM8" s="26">
        <f>(791+2733)/1000</f>
        <v>3.524</v>
      </c>
      <c r="AN8" s="26" t="s">
        <v>35</v>
      </c>
      <c r="AO8" s="25">
        <f t="shared" ref="AO8:AO11" si="21">SUM(AI8:AJ8,AM8:AN8)</f>
        <v>88.39800000000001</v>
      </c>
      <c r="AP8" s="25"/>
      <c r="AQ8" s="26">
        <f>(61264+832)/1000</f>
        <v>62.095999999999997</v>
      </c>
      <c r="AR8" s="26">
        <f>(13)/1000</f>
        <v>1.2999999999999999E-2</v>
      </c>
      <c r="AS8" s="26" t="s">
        <v>35</v>
      </c>
      <c r="AT8" s="26" t="s">
        <v>35</v>
      </c>
      <c r="AU8" s="26">
        <f>(70+7)/1000</f>
        <v>7.6999999999999999E-2</v>
      </c>
      <c r="AV8" s="26" t="s">
        <v>35</v>
      </c>
      <c r="AW8" s="25">
        <f t="shared" ref="AW8:AW11" si="22">SUM(AQ8:AR8,AU8:AV8)</f>
        <v>62.185999999999993</v>
      </c>
      <c r="AX8" s="25"/>
      <c r="AY8" s="26">
        <f>(10752+5406)/1000</f>
        <v>16.158000000000001</v>
      </c>
      <c r="AZ8" s="26" t="s">
        <v>35</v>
      </c>
      <c r="BA8" s="26" t="s">
        <v>35</v>
      </c>
      <c r="BB8" s="26" t="s">
        <v>35</v>
      </c>
      <c r="BC8" s="26" t="s">
        <v>35</v>
      </c>
      <c r="BD8" s="26" t="s">
        <v>35</v>
      </c>
      <c r="BE8" s="25">
        <f t="shared" ref="BE8:BE11" si="23">SUM(AY8:AZ8,BC8:BD8)</f>
        <v>16.158000000000001</v>
      </c>
      <c r="BF8" s="25"/>
      <c r="BG8" s="24">
        <f t="shared" ref="BG8:BH11" si="24">IF(SUM(BS8,CA8,CI8,CY8,CQ8)&lt;=0,"-",SUM(BS8,CA8,CI8,CY8,CQ8))</f>
        <v>1584</v>
      </c>
      <c r="BH8" s="24">
        <f t="shared" si="24"/>
        <v>2379</v>
      </c>
      <c r="BI8" s="24">
        <f t="shared" ref="BI8:BK11" si="25">IF(SUM(BW8,CE8,CM8,DC8,CU8)&lt;=0,"-",SUM(BW8,CE8,CM8,DC8,CU8))</f>
        <v>1995</v>
      </c>
      <c r="BJ8" s="24">
        <f t="shared" si="25"/>
        <v>261</v>
      </c>
      <c r="BK8" s="24">
        <f t="shared" si="25"/>
        <v>6219</v>
      </c>
      <c r="BL8" s="34"/>
      <c r="BM8" s="24">
        <f t="shared" ref="BM8:BN11" si="26">IF(SUM(BS8,CA8,CI8,CQ8)&lt;=0,"-",SUM(BS8,CA8,CI8,CQ8))</f>
        <v>1584</v>
      </c>
      <c r="BN8" s="24">
        <f t="shared" si="26"/>
        <v>2379</v>
      </c>
      <c r="BO8" s="24">
        <f t="shared" ref="BO8:BQ11" si="27">IF(SUM(BW8,CE8,CM8,CU8)&lt;=0,"-",SUM(BW8,CE8,CM8,CU8))</f>
        <v>1995</v>
      </c>
      <c r="BP8" s="24">
        <f t="shared" si="27"/>
        <v>261</v>
      </c>
      <c r="BQ8" s="24">
        <f t="shared" si="27"/>
        <v>6219</v>
      </c>
      <c r="BR8" s="34"/>
      <c r="BS8" s="26">
        <f>107</f>
        <v>107</v>
      </c>
      <c r="BT8" s="26">
        <f>468</f>
        <v>468</v>
      </c>
      <c r="BU8" s="26">
        <f>BT8-BV8</f>
        <v>389</v>
      </c>
      <c r="BV8" s="26">
        <f>79</f>
        <v>79</v>
      </c>
      <c r="BW8" s="26">
        <f>191</f>
        <v>191</v>
      </c>
      <c r="BX8" s="26">
        <f>261</f>
        <v>261</v>
      </c>
      <c r="BY8" s="25">
        <f t="shared" ref="BY8:BY11" si="28">SUM(BS8:BT8,BW8:BX8)</f>
        <v>1027</v>
      </c>
      <c r="BZ8" s="25"/>
      <c r="CA8" s="26">
        <f>240+224+197+46</f>
        <v>707</v>
      </c>
      <c r="CB8" s="26">
        <f>530+344+171+124</f>
        <v>1169</v>
      </c>
      <c r="CC8" s="26">
        <f>CB8-CD8</f>
        <v>1101</v>
      </c>
      <c r="CD8" s="26">
        <f>19+22+17+10</f>
        <v>68</v>
      </c>
      <c r="CE8" s="26">
        <f>153+147+133+59</f>
        <v>492</v>
      </c>
      <c r="CF8" s="26" t="s">
        <v>35</v>
      </c>
      <c r="CG8" s="25">
        <f t="shared" ref="CG8:CG10" si="29">SUM(CA8:CB8,CE8:CF8)</f>
        <v>2368</v>
      </c>
      <c r="CH8" s="25"/>
      <c r="CI8" s="26">
        <f>142+217</f>
        <v>359</v>
      </c>
      <c r="CJ8" s="26">
        <f>234+507</f>
        <v>741</v>
      </c>
      <c r="CK8" s="26">
        <f>CJ8-CL8</f>
        <v>736</v>
      </c>
      <c r="CL8" s="26">
        <f>4+1</f>
        <v>5</v>
      </c>
      <c r="CM8" s="26">
        <f>126+1169</f>
        <v>1295</v>
      </c>
      <c r="CN8" s="26" t="s">
        <v>35</v>
      </c>
      <c r="CO8" s="25">
        <f t="shared" ref="CO8" si="30">SUM(CI8:CJ8,CM8:CN8)</f>
        <v>2395</v>
      </c>
      <c r="CP8" s="25"/>
      <c r="CQ8" s="26">
        <f>11+400</f>
        <v>411</v>
      </c>
      <c r="CR8" s="26">
        <v>1</v>
      </c>
      <c r="CS8" s="26" t="s">
        <v>35</v>
      </c>
      <c r="CT8" s="26" t="s">
        <v>35</v>
      </c>
      <c r="CU8" s="26">
        <f>11+6</f>
        <v>17</v>
      </c>
      <c r="CV8" s="26" t="s">
        <v>35</v>
      </c>
      <c r="CW8" s="25">
        <f t="shared" ref="CW8:CW11" si="31">SUM(CQ8:CR8,CU8:CV8)</f>
        <v>429</v>
      </c>
      <c r="CX8" s="25"/>
      <c r="CY8" s="26" t="s">
        <v>35</v>
      </c>
      <c r="CZ8" s="26" t="s">
        <v>35</v>
      </c>
      <c r="DA8" s="26" t="s">
        <v>35</v>
      </c>
      <c r="DB8" s="26" t="s">
        <v>35</v>
      </c>
      <c r="DC8" s="26" t="s">
        <v>35</v>
      </c>
      <c r="DD8" s="26" t="s">
        <v>35</v>
      </c>
      <c r="DE8" s="25">
        <f t="shared" ref="DE8:DE11" si="32">SUM(CY8:CZ8,DC8:DD8)</f>
        <v>0</v>
      </c>
      <c r="DF8" s="25"/>
      <c r="DG8" s="28">
        <f t="shared" ref="DG8:DH8" si="33">IF(ISERROR(K8/$Q8),"-",IF(K8/$Q8&lt;=0,"-",K8/$Q8))</f>
        <v>0.85996912424222594</v>
      </c>
      <c r="DH8" s="28">
        <f t="shared" si="33"/>
        <v>0.10237553086287635</v>
      </c>
      <c r="DI8" s="28">
        <f t="shared" ref="DI8" si="34">IF(ISERROR(O8/$Q8),"-",IF(O8/$Q8&lt;=0,"-",O8/$Q8))</f>
        <v>1.2861596145881019E-2</v>
      </c>
      <c r="DJ8" s="28">
        <f t="shared" ref="DJ8" si="35">IF(ISERROR(P8/$Q8),"-",IF(P8/$Q8&lt;=0,"-",P8/$Q8))</f>
        <v>2.4793748749016548E-2</v>
      </c>
      <c r="DK8" s="25"/>
      <c r="DL8" s="27">
        <f t="shared" ref="DL8:DM8" si="36">IF(ISERROR(S8/$Y8),"-",IF(S8/$Y8&lt;=0,"-",S8/$Y8))</f>
        <v>0.85282524779007207</v>
      </c>
      <c r="DM8" s="27">
        <f t="shared" si="36"/>
        <v>9.8430832479664582E-2</v>
      </c>
      <c r="DN8" s="27">
        <f t="shared" ref="DN8:DO8" si="37">IF(ISERROR(W8/$Y8),"-",IF(W8/$Y8&lt;=0,"-",W8/$Y8))</f>
        <v>6.3058418078329468E-3</v>
      </c>
      <c r="DO8" s="27">
        <f t="shared" si="37"/>
        <v>4.2438077922430338E-2</v>
      </c>
      <c r="DP8" s="25"/>
      <c r="DQ8" s="27">
        <f t="shared" ref="DQ8:DR8" si="38">IF(ISERROR(AA8/$AG8),"-",IF(AA8/$AG8&lt;=0,"-",AA8/$AG8))</f>
        <v>0.84223059125529864</v>
      </c>
      <c r="DR8" s="27">
        <f t="shared" si="38"/>
        <v>0.14037457990643945</v>
      </c>
      <c r="DS8" s="27">
        <f t="shared" ref="DS8:DT8" si="39">IF(ISERROR(AE8/$AG8),"-",IF(AE8/$AG8&lt;=0,"-",AE8/$AG8))</f>
        <v>1.7394828838261867E-2</v>
      </c>
      <c r="DT8" s="27" t="str">
        <f t="shared" si="39"/>
        <v>-</v>
      </c>
      <c r="DU8" s="25"/>
      <c r="DV8" s="27">
        <f t="shared" ref="DV8:DW8" si="40">IF(ISERROR(AI8/$AO8),"-",IF(AI8/$AO8&lt;=0,"-",AI8/$AO8))</f>
        <v>0.79818547930948658</v>
      </c>
      <c r="DW8" s="27">
        <f t="shared" si="40"/>
        <v>0.16194936537025723</v>
      </c>
      <c r="DX8" s="27">
        <f t="shared" ref="DX8:DY8" si="41">IF(ISERROR(AM8/$AM8),"-",IF(AM8/$AO8&lt;=0,"-",AM8/$AO8))</f>
        <v>3.9865155320256113E-2</v>
      </c>
      <c r="DY8" s="27" t="str">
        <f t="shared" si="41"/>
        <v>-</v>
      </c>
      <c r="DZ8" s="25"/>
      <c r="EA8" s="27">
        <f t="shared" ref="EA8:EB8" si="42">IF(ISERROR(AQ8/$AW8),"-",IF(AQ8/$AW8&lt;=0,"-",AQ8/$AW8))</f>
        <v>0.9985527289100441</v>
      </c>
      <c r="EB8" s="27">
        <f t="shared" si="42"/>
        <v>2.0905026854919114E-4</v>
      </c>
      <c r="EC8" s="27">
        <f t="shared" ref="EC8:ED8" si="43">IF(ISERROR(AU8/$AW8),"-",IF(AU8/$AW8&lt;=0,"-",AU8/$AW8))</f>
        <v>1.2382208214067477E-3</v>
      </c>
      <c r="ED8" s="27" t="str">
        <f t="shared" si="43"/>
        <v>-</v>
      </c>
      <c r="EE8" s="25"/>
      <c r="EF8" s="29" t="str">
        <f>IF(ISERROR(#REF!/T8),"-",#REF!/T8)</f>
        <v>-</v>
      </c>
      <c r="EG8" s="29">
        <f t="shared" ref="EG8" si="44">IF(ISERROR(AD8/AB8),"-",AD8/AB8)</f>
        <v>2.3219441770933592E-2</v>
      </c>
      <c r="EH8" s="29">
        <f t="shared" ref="EH8" si="45">IF(ISERROR(AL8/AJ8),"-",AL8/AJ8)</f>
        <v>1.8021793797150042E-2</v>
      </c>
      <c r="EI8" s="29" t="str">
        <f t="shared" ref="EI8" si="46">IF(ISERROR(AT8/AR8),"-",AT8/AR8)</f>
        <v>-</v>
      </c>
      <c r="EJ8" s="29">
        <f t="shared" ref="EJ8" si="47">IF(ISERROR(N8/L8),"-",N8/L8)</f>
        <v>4.2083664027565387E-2</v>
      </c>
      <c r="EK8" s="25"/>
      <c r="EL8" s="30">
        <f t="shared" ref="EL8:EM11" si="48">IF(ISERROR(BM8/K8/1000),"-",IF((BM8/K8/1000)&lt;=0,"-",BM8/K8/1000))</f>
        <v>3.6502489958358587E-3</v>
      </c>
      <c r="EM8" s="30">
        <f t="shared" si="48"/>
        <v>4.6051994812133415E-2</v>
      </c>
      <c r="EN8" s="30">
        <f t="shared" ref="EN8:EP8" si="49">IF(ISERROR(BO8/O8/1000),"-",IF((BO8/O8/1000)&lt;=0,"-",BO8/O8/1000))</f>
        <v>0.30739599383667177</v>
      </c>
      <c r="EO8" s="30">
        <f t="shared" si="49"/>
        <v>2.0861641755255376E-2</v>
      </c>
      <c r="EP8" s="30">
        <f t="shared" si="49"/>
        <v>1.2324540282162412E-2</v>
      </c>
      <c r="EQ8" s="34"/>
      <c r="ER8" s="30">
        <f t="shared" ref="ER8:ES8" si="50">IF(OR(BS8=0,S8=0),"-",IF(ISERROR(BS8/S8/1000),"-",IF((BS8/S8/1000)&lt;=0,"-",BS8/S8/1000)))</f>
        <v>4.2558607577818612E-4</v>
      </c>
      <c r="ES8" s="31">
        <f t="shared" si="50"/>
        <v>1.612792060100627E-2</v>
      </c>
      <c r="ET8" s="31">
        <f t="shared" ref="ET8:EV8" si="51">IF(OR(BW8=0,W8=0),"-",IF(ISERROR(BW8/W8/1000),"-",IF((BW8/W8/1000)&lt;=0,"-",BW8/W8/1000)))</f>
        <v>0.10274341043571814</v>
      </c>
      <c r="EU8" s="31">
        <f t="shared" si="51"/>
        <v>2.0861641755255376E-2</v>
      </c>
      <c r="EV8" s="31">
        <f t="shared" si="51"/>
        <v>3.4836468728587609E-3</v>
      </c>
      <c r="EW8" s="25"/>
      <c r="EX8" s="30">
        <f t="shared" ref="EX8:EY8" si="52">IF(OR(CA8=0,AA8=0),"-",IF(ISERROR(CA8/AA8/1000),"-",IF((CA8/AA8/1000)&lt;=0,"-",CA8/AA8/1000)))</f>
        <v>1.417657556495759E-2</v>
      </c>
      <c r="EY8" s="31">
        <f t="shared" si="52"/>
        <v>0.14064003849855633</v>
      </c>
      <c r="EZ8" s="31">
        <f t="shared" ref="EZ8:FB8" si="53">IF(OR(CE8=0,AE8=0),"-",IF(ISERROR(CE8/AE8/1000),"-",IF((CE8/AE8/1000)&lt;=0,"-",CE8/AE8/1000)))</f>
        <v>0.47766990291262135</v>
      </c>
      <c r="FA8" s="31" t="str">
        <f t="shared" si="53"/>
        <v>-</v>
      </c>
      <c r="FB8" s="31">
        <f t="shared" si="53"/>
        <v>3.9991218144664178E-2</v>
      </c>
      <c r="FC8" s="25"/>
      <c r="FD8" s="30">
        <f t="shared" ref="FD8:FE8" si="54">IF(OR(CI8=0,AI8=0),"-",IF(ISERROR(CI8/AI8/1000),"-",IF((CI8/AI8/1000)&lt;=0,"-",CI8/AI8/1000)))</f>
        <v>5.0880126987726407E-3</v>
      </c>
      <c r="FE8" s="31">
        <f t="shared" si="54"/>
        <v>5.1760268231349535E-2</v>
      </c>
      <c r="FF8" s="31">
        <f t="shared" ref="FF8:FH8" si="55">IF(OR(CM8=0,AM8=0),"-",IF(ISERROR(CM8/AM8/1000),"-",IF((CM8/AM8/1000)&lt;=0,"-",CM8/AM8/1000)))</f>
        <v>0.36748013620885361</v>
      </c>
      <c r="FG8" s="31" t="str">
        <f t="shared" si="55"/>
        <v>-</v>
      </c>
      <c r="FH8" s="31">
        <f t="shared" si="55"/>
        <v>2.7093373153238759E-2</v>
      </c>
      <c r="FI8" s="25"/>
      <c r="FJ8" s="30">
        <f t="shared" ref="FJ8:FK8" si="56">IF(OR(CQ8=0,AQ8=0),"-",IF(ISERROR(CQ8/AQ8/1000),"-",IF((CQ8/AQ8/1000)&lt;=0,"-",CQ8/AQ8/1000)))</f>
        <v>6.6187838186034529E-3</v>
      </c>
      <c r="FK8" s="30">
        <f t="shared" si="56"/>
        <v>7.6923076923076913E-2</v>
      </c>
      <c r="FL8" s="30">
        <f t="shared" ref="FL8:FN8" si="57">IF(OR(CU8=0,AU8=0),"-",IF(ISERROR(CU8/AU8/1000),"-",IF((CU8/AU8/1000)&lt;=0,"-",CU8/AU8/1000)))</f>
        <v>0.2207792207792208</v>
      </c>
      <c r="FM8" s="30" t="str">
        <f t="shared" si="57"/>
        <v>-</v>
      </c>
      <c r="FN8" s="30">
        <f t="shared" si="57"/>
        <v>6.8986588621233079E-3</v>
      </c>
      <c r="FP8" s="26">
        <f>478</f>
        <v>478</v>
      </c>
      <c r="FQ8" s="26">
        <f>800+739+226+141</f>
        <v>1906</v>
      </c>
      <c r="FR8" s="26">
        <f>264+1200</f>
        <v>1464</v>
      </c>
      <c r="FS8" s="26">
        <f>9+390</f>
        <v>399</v>
      </c>
      <c r="FT8" s="32">
        <f t="shared" ref="FT8" si="58">SUM(FP8:FS8)</f>
        <v>4247</v>
      </c>
      <c r="FV8" s="33">
        <f t="shared" ref="FV8" si="59">IF(ISERROR(FP8/$Y8/1000),"-",IF(FP8/$Y8/1000=0,"-",FP8/$Y8/1000))</f>
        <v>1.6214052631221888E-3</v>
      </c>
      <c r="FW8" s="33">
        <f t="shared" ref="FW8" si="60">IF(ISERROR(FQ8/$AG8/1000),"-",IF(FQ8/$AG8/1000=0,"-",FQ8/$AG8/1000))</f>
        <v>3.2188877442453516E-2</v>
      </c>
      <c r="FX8" s="33">
        <f t="shared" ref="FX8" si="61">IF(ISERROR(FR8/$AO8/1000),"-",IF(FR8/$AO8/1000=0,"-",FR8/$AO8/1000))</f>
        <v>1.6561460666530917E-2</v>
      </c>
      <c r="FY8" s="33">
        <f t="shared" ref="FY8" si="62">IF(ISERROR(FS8/$AW8/1000),"-",IF(FS8/$AW8/1000=0,"-",FS8/$AW8/1000))</f>
        <v>6.4162351654713286E-3</v>
      </c>
      <c r="FZ8" s="33">
        <f t="shared" ref="FZ8" si="63">IF(ISERROR(FT8/$Q8/1000),"-",IF(FT8/$Q8/1000=0,"-",FT8/$Q8/1000))</f>
        <v>8.4165175395310762E-3</v>
      </c>
      <c r="GF8" s="22" t="str">
        <f t="shared" ref="GF8:GF11" si="64">IF(SUM(GB8:GE8)=0,"-",SUM(GB8:GE8))</f>
        <v>-</v>
      </c>
      <c r="GH8" s="33" t="str">
        <f t="shared" ref="GH8" si="65">IF(ISERROR(GB8/$Y8/1000),"-",IF(GB8/$Y8/1000=0,"-",GB8/$Y8/1000))</f>
        <v>-</v>
      </c>
      <c r="GI8" s="33" t="str">
        <f t="shared" ref="GI8" si="66">IF(ISERROR(GC8/$AG8/1000),"-",IF(GC8/$AG8/1000=0,"-",GC8/$AG8/1000))</f>
        <v>-</v>
      </c>
      <c r="GJ8" s="33" t="str">
        <f t="shared" ref="GJ8" si="67">IF(ISERROR(GD8/$AO8/1000),"-",IF(GD8/$AO8/1000=0,"-",GD8/$AO8/1000))</f>
        <v>-</v>
      </c>
      <c r="GK8" s="33" t="str">
        <f t="shared" ref="GK8" si="68">IF(ISERROR(GE8/$AW8/1000),"-",IF(GE8/$AW8/1000=0,"-",GE8/$AW8/1000))</f>
        <v>-</v>
      </c>
      <c r="GL8" s="33" t="str">
        <f t="shared" ref="GL8" si="69">IF(ISERROR(GF8/$Q8/1000),"-",IF(GF8/$Q8/1000=0,"-",GF8/$Q8/1000))</f>
        <v>-</v>
      </c>
    </row>
    <row r="9" spans="1:197" s="55" customFormat="1" x14ac:dyDescent="0.25">
      <c r="A9" s="51" t="s">
        <v>37</v>
      </c>
      <c r="B9" s="51"/>
      <c r="C9" s="52">
        <f t="shared" si="17"/>
        <v>290.96400000000006</v>
      </c>
      <c r="D9" s="52">
        <f t="shared" si="17"/>
        <v>51.006</v>
      </c>
      <c r="E9" s="52">
        <f t="shared" si="17"/>
        <v>49.048000000000002</v>
      </c>
      <c r="F9" s="52">
        <f t="shared" si="17"/>
        <v>1.958</v>
      </c>
      <c r="G9" s="52">
        <f t="shared" si="17"/>
        <v>8.9969999999999999</v>
      </c>
      <c r="H9" s="52" t="str">
        <f t="shared" si="17"/>
        <v>-</v>
      </c>
      <c r="I9" s="52">
        <f>IF(SUM(R26,AG9,AO9,BE9)&lt;=0,"-",SUM(R26,AG9,AO9,AW9,BE9))</f>
        <v>190.78200000000001</v>
      </c>
      <c r="J9" s="52"/>
      <c r="K9" s="52">
        <f t="shared" si="18"/>
        <v>290.96400000000006</v>
      </c>
      <c r="L9" s="52">
        <f t="shared" si="18"/>
        <v>51.006</v>
      </c>
      <c r="M9" s="52">
        <f t="shared" si="18"/>
        <v>49.048000000000002</v>
      </c>
      <c r="N9" s="52">
        <f t="shared" si="18"/>
        <v>1.958</v>
      </c>
      <c r="O9" s="52">
        <f t="shared" si="18"/>
        <v>8.9969999999999999</v>
      </c>
      <c r="P9" s="52" t="str">
        <f t="shared" si="18"/>
        <v>-</v>
      </c>
      <c r="Q9" s="52">
        <f>IF(SUM(R26,AG9,AO9,AW9)&lt;=0,"-",SUM(R26,AG9,AO9,AW9))</f>
        <v>190.78200000000001</v>
      </c>
      <c r="R9" s="52"/>
      <c r="S9" s="72">
        <v>138.63900000000001</v>
      </c>
      <c r="T9" s="73">
        <f>U9+V9</f>
        <v>19.312000000000001</v>
      </c>
      <c r="U9" s="73">
        <f>16.651+1.785</f>
        <v>18.436</v>
      </c>
      <c r="V9" s="73">
        <v>0.876</v>
      </c>
      <c r="W9" s="73">
        <v>2.234</v>
      </c>
      <c r="X9" s="74"/>
      <c r="Y9" s="75">
        <f t="shared" si="19"/>
        <v>160.18500000000003</v>
      </c>
      <c r="Z9" s="59"/>
      <c r="AA9" s="72">
        <v>33.021000000000001</v>
      </c>
      <c r="AB9" s="76">
        <f>AC9+AD9</f>
        <v>10.32</v>
      </c>
      <c r="AC9" s="76">
        <f>9.47+0.544</f>
        <v>10.014000000000001</v>
      </c>
      <c r="AD9" s="76">
        <v>0.30599999999999999</v>
      </c>
      <c r="AE9" s="76">
        <v>3.1720000000000002</v>
      </c>
      <c r="AF9" s="77"/>
      <c r="AG9" s="58">
        <f>SUM(AA9:AB9,AE9:AF9)</f>
        <v>46.512999999999998</v>
      </c>
      <c r="AH9" s="59"/>
      <c r="AI9" s="73">
        <v>119.304</v>
      </c>
      <c r="AJ9" s="73">
        <f>AK9+AL9</f>
        <v>21.374000000000002</v>
      </c>
      <c r="AK9" s="73">
        <f>19.501+1.097</f>
        <v>20.598000000000003</v>
      </c>
      <c r="AL9" s="73">
        <v>0.77600000000000002</v>
      </c>
      <c r="AM9" s="73">
        <v>3.5910000000000002</v>
      </c>
      <c r="AN9" s="78"/>
      <c r="AO9" s="58">
        <f>SUM(AI9:AJ9,AM9:AN9)</f>
        <v>144.26900000000001</v>
      </c>
      <c r="AP9" s="59"/>
      <c r="AQ9" s="77"/>
      <c r="AR9" s="77"/>
      <c r="AS9" s="77"/>
      <c r="AT9" s="77"/>
      <c r="AU9" s="77"/>
      <c r="AV9" s="77"/>
      <c r="AW9" s="59">
        <f>SUM(AQ9:AR9,AU9:AV9)</f>
        <v>0</v>
      </c>
      <c r="AX9" s="59"/>
      <c r="AY9" s="56"/>
      <c r="AZ9" s="56"/>
      <c r="BA9" s="56"/>
      <c r="BB9" s="56"/>
      <c r="BC9" s="56"/>
      <c r="BD9" s="56"/>
      <c r="BE9" s="59">
        <f>SUM(AY9:AZ9,BC9:BD9)</f>
        <v>0</v>
      </c>
      <c r="BF9" s="59"/>
      <c r="BG9" s="52">
        <f>IF(SUM(BS9,CA9,CI9,CY9,CQ9)&lt;=0,"-",SUM(BS9,CA9,CI9,CY9,CQ9))</f>
        <v>1033</v>
      </c>
      <c r="BH9" s="52">
        <f>IF(SUM(BT9,CB9,CJ9,CZ9,CR9)&lt;=0,"-",SUM(BT9,CB9,CJ9,CZ9,CR9))</f>
        <v>3564</v>
      </c>
      <c r="BI9" s="52">
        <f>IF(SUM(BW9,CE9,CM9,DC9,CU9)&lt;=0,"-",SUM(BW9,CE9,CM9,DC9,CU9))</f>
        <v>3738</v>
      </c>
      <c r="BJ9" s="52" t="str">
        <f>IF(SUM(BX9,CF9,CN9,DD9,CV9)&lt;=0,"-",SUM(BX9,CF9,CN9,DD9,CV9))</f>
        <v>-</v>
      </c>
      <c r="BK9" s="52">
        <f>IF(SUM(BY9,CG9,CO9,DE9,CW9)&lt;=0,"-",SUM(BY9,CG9,CO9,DE9,CW9))</f>
        <v>8335</v>
      </c>
      <c r="BL9" s="52"/>
      <c r="BM9" s="52">
        <f>IF(SUM(BS9,CA9,CI9,CQ9)&lt;=0,"-",SUM(BS9,CA9,CI9,CQ9))</f>
        <v>1033</v>
      </c>
      <c r="BN9" s="52">
        <f>IF(SUM(BT9,CB9,CJ9,CR9)&lt;=0,"-",SUM(BT9,CB9,CJ9,CR9))</f>
        <v>3564</v>
      </c>
      <c r="BO9" s="52">
        <f>IF(SUM(BW9,CE9,CM9,CU9)&lt;=0,"-",SUM(BW9,CE9,CM9,CU9))</f>
        <v>3738</v>
      </c>
      <c r="BP9" s="52" t="str">
        <f>IF(SUM(BX9,CF9,CN9,CV9)&lt;=0,"-",SUM(BX9,CF9,CN9,CV9))</f>
        <v>-</v>
      </c>
      <c r="BQ9" s="52">
        <f>IF(SUM(BY9,CG9,CO9,CW9)&lt;=0,"-",SUM(BY9,CG9,CO9,CW9))</f>
        <v>8335</v>
      </c>
      <c r="BR9" s="52"/>
      <c r="BS9" s="77">
        <v>33</v>
      </c>
      <c r="BT9" s="77">
        <f>BU9+BV9</f>
        <v>84</v>
      </c>
      <c r="BU9" s="77">
        <f>57+13</f>
        <v>70</v>
      </c>
      <c r="BV9" s="77">
        <v>14</v>
      </c>
      <c r="BW9" s="77">
        <v>421</v>
      </c>
      <c r="BX9" s="77"/>
      <c r="BY9" s="25">
        <f t="shared" si="28"/>
        <v>538</v>
      </c>
      <c r="BZ9" s="59"/>
      <c r="CA9" s="77">
        <v>680</v>
      </c>
      <c r="CB9" s="77">
        <f>CC9+CD9</f>
        <v>2769</v>
      </c>
      <c r="CC9" s="77">
        <f>2382+180</f>
        <v>2562</v>
      </c>
      <c r="CD9" s="77">
        <v>207</v>
      </c>
      <c r="CE9" s="77">
        <v>2251</v>
      </c>
      <c r="CF9" s="77"/>
      <c r="CG9" s="59">
        <f>SUM(CA9:CB9,CE9:CF9)</f>
        <v>5700</v>
      </c>
      <c r="CH9" s="59"/>
      <c r="CI9" s="77">
        <v>320</v>
      </c>
      <c r="CJ9" s="77">
        <f>CK9+CL9</f>
        <v>711</v>
      </c>
      <c r="CK9" s="77">
        <f>650+50</f>
        <v>700</v>
      </c>
      <c r="CL9" s="77">
        <v>11</v>
      </c>
      <c r="CM9" s="77">
        <v>1066</v>
      </c>
      <c r="CN9" s="77"/>
      <c r="CO9" s="59">
        <f>SUM(CI9:CJ9,CM9:CN9)</f>
        <v>2097</v>
      </c>
      <c r="CP9" s="59"/>
      <c r="CQ9" s="77"/>
      <c r="CR9" s="77"/>
      <c r="CS9" s="77"/>
      <c r="CT9" s="77"/>
      <c r="CU9" s="77"/>
      <c r="CV9" s="77"/>
      <c r="CW9" s="59">
        <f>SUM(CQ9:CR9,CU9:CV9)</f>
        <v>0</v>
      </c>
      <c r="CX9" s="59"/>
      <c r="CY9" s="77"/>
      <c r="CZ9" s="77"/>
      <c r="DA9" s="77"/>
      <c r="DB9" s="77"/>
      <c r="DC9" s="77"/>
      <c r="DD9" s="77"/>
      <c r="DE9" s="59">
        <f>SUM(CY9:CZ9,DC9:DD9)</f>
        <v>0</v>
      </c>
      <c r="DF9" s="59"/>
      <c r="DG9" s="64">
        <f>IF(ISERROR(K9/$Q9),"-",IF(K9/$Q9&lt;=0,"-",K9/$Q9))</f>
        <v>1.5251124319904397</v>
      </c>
      <c r="DH9" s="64">
        <f>IF(ISERROR(L9/$Q9),"-",IF(L9/$Q9&lt;=0,"-",L9/$Q9))</f>
        <v>0.26735226593703809</v>
      </c>
      <c r="DI9" s="64">
        <f>IF(ISERROR(O9/$Q9),"-",IF(O9/$Q9&lt;=0,"-",O9/$Q9))</f>
        <v>4.7158536968896436E-2</v>
      </c>
      <c r="DJ9" s="64" t="str">
        <f>IF(ISERROR(P9/$Q9),"-",IF(P9/$Q9&lt;=0,"-",P9/$Q9))</f>
        <v>-</v>
      </c>
      <c r="DK9" s="59"/>
      <c r="DL9" s="63" t="str">
        <f>IF(ISERROR(S9/$R26),"-",IF(S9/$R26&lt;=0,"-",S9/$R26))</f>
        <v>-</v>
      </c>
      <c r="DM9" s="63" t="str">
        <f>IF(ISERROR(T9/$R26),"-",IF(T9/$R26&lt;=0,"-",T9/$R26))</f>
        <v>-</v>
      </c>
      <c r="DN9" s="63" t="str">
        <f>IF(ISERROR(W9/$R26),"-",IF(W9/$R26&lt;=0,"-",W9/$R26))</f>
        <v>-</v>
      </c>
      <c r="DO9" s="63" t="str">
        <f>IF(ISERROR(X9/$R26),"-",IF(X9/$R26&lt;=0,"-",X9/$R26))</f>
        <v>-</v>
      </c>
      <c r="DP9" s="59"/>
      <c r="DQ9" s="63">
        <f>IF(ISERROR(AA9/$AG9),"-",IF(AA9/$AG9&lt;=0,"-",AA9/$AG9))</f>
        <v>0.70993055704856711</v>
      </c>
      <c r="DR9" s="63">
        <f>IF(ISERROR(AB9/$AG9),"-",IF(AB9/$AG9&lt;=0,"-",AB9/$AG9))</f>
        <v>0.2218734547330854</v>
      </c>
      <c r="DS9" s="63">
        <f>IF(ISERROR(AE9/$AG9),"-",IF(AE9/$AG9&lt;=0,"-",AE9/$AG9))</f>
        <v>6.8195988218347561E-2</v>
      </c>
      <c r="DT9" s="63" t="str">
        <f>IF(ISERROR(AF9/$AG9),"-",IF(AF9/$AG9&lt;=0,"-",AF9/$AG9))</f>
        <v>-</v>
      </c>
      <c r="DU9" s="59"/>
      <c r="DV9" s="63">
        <f>IF(ISERROR(AI9/$AO9),"-",IF(AI9/$AO9&lt;=0,"-",AI9/$AO9))</f>
        <v>0.82695520174119175</v>
      </c>
      <c r="DW9" s="63">
        <f>IF(ISERROR(AJ9/$AO9),"-",IF(AJ9/$AO9&lt;=0,"-",AJ9/$AO9))</f>
        <v>0.148153796033798</v>
      </c>
      <c r="DX9" s="63">
        <f>IF(ISERROR(AM9/$AM9),"-",IF(AM9/$AO9&lt;=0,"-",AM9/$AO9))</f>
        <v>2.4891002225010225E-2</v>
      </c>
      <c r="DY9" s="63" t="str">
        <f>IF(ISERROR(AN9/$AM9),"-",IF(AN9/$AO9&lt;=0,"-",AN9/$AO9))</f>
        <v>-</v>
      </c>
      <c r="DZ9" s="59"/>
      <c r="EA9" s="63" t="str">
        <f>IF(ISERROR(AQ9/$AW9),"-",IF(AQ9/$AW9&lt;=0,"-",AQ9/$AW9))</f>
        <v>-</v>
      </c>
      <c r="EB9" s="63" t="str">
        <f>IF(ISERROR(AR9/$AW9),"-",IF(AR9/$AW9&lt;=0,"-",AR9/$AW9))</f>
        <v>-</v>
      </c>
      <c r="EC9" s="63" t="str">
        <f>IF(ISERROR(AU9/$AW9),"-",IF(AU9/$AW9&lt;=0,"-",AU9/$AW9))</f>
        <v>-</v>
      </c>
      <c r="ED9" s="63" t="str">
        <f>IF(ISERROR(AV9/$AW9),"-",IF(AV9/$AW9&lt;=0,"-",AV9/$AW9))</f>
        <v>-</v>
      </c>
      <c r="EE9" s="59"/>
      <c r="EF9" s="65">
        <f>IF(ISERROR(V9/T9),"-",V9/T9)</f>
        <v>4.5360397680198838E-2</v>
      </c>
      <c r="EG9" s="65">
        <f>IF(ISERROR(AD9/AB9),"-",AD9/AB9)</f>
        <v>2.9651162790697672E-2</v>
      </c>
      <c r="EH9" s="65">
        <f>IF(ISERROR(AL9/AJ9),"-",AL9/AJ9)</f>
        <v>3.6305792083840174E-2</v>
      </c>
      <c r="EI9" s="65" t="str">
        <f>IF(ISERROR(AT9/AR9),"-",AT9/AR9)</f>
        <v>-</v>
      </c>
      <c r="EJ9" s="65">
        <f>IF(ISERROR(N9/L9),"-",N9/L9)</f>
        <v>3.838764066972513E-2</v>
      </c>
      <c r="EK9" s="59"/>
      <c r="EL9" s="66">
        <f>IF(ISERROR(BM9/K9/1000),"-",IF((BM9/K9/1000)&lt;=0,"-",BM9/K9/1000))</f>
        <v>3.5502673870306972E-3</v>
      </c>
      <c r="EM9" s="66">
        <f>IF(ISERROR(BN9/L9/1000),"-",IF((BN9/L9/1000)&lt;=0,"-",BN9/L9/1000))</f>
        <v>6.9874132455005289E-2</v>
      </c>
      <c r="EN9" s="66">
        <f>IF(ISERROR(BO9/O9/1000),"-",IF((BO9/O9/1000)&lt;=0,"-",BO9/O9/1000))</f>
        <v>0.41547182394131382</v>
      </c>
      <c r="EO9" s="66" t="str">
        <f>IF(ISERROR(BP9/P9/1000),"-",IF((BP9/P9/1000)&lt;=0,"-",BP9/P9/1000))</f>
        <v>-</v>
      </c>
      <c r="EP9" s="66">
        <f>IF(ISERROR(BQ9/Q9/1000),"-",IF((BQ9/Q9/1000)&lt;=0,"-",BQ9/Q9/1000))</f>
        <v>4.3688607939952405E-2</v>
      </c>
      <c r="EQ9" s="52"/>
      <c r="ER9" s="66">
        <f>IF(OR(BS9=0,S9=0),"-",IF(ISERROR(BS9/S9/1000),"-",IF((BS9/S9/1000)&lt;=0,"-",BS9/S9/1000)))</f>
        <v>2.3802826044619477E-4</v>
      </c>
      <c r="ES9" s="67">
        <f>IF(OR(BT9=0,T9=0),"-",IF(ISERROR(BT9/T9/1000),"-",IF((BT9/T9/1000)&lt;=0,"-",BT9/T9/1000)))</f>
        <v>4.3496271748135872E-3</v>
      </c>
      <c r="ET9" s="67">
        <f>IF(OR(BW9=0,W9=0),"-",IF(ISERROR(BW9/W9/1000),"-",IF((BW9/W9/1000)&lt;=0,"-",BW9/W9/1000)))</f>
        <v>0.18845120859444942</v>
      </c>
      <c r="EU9" s="67" t="str">
        <f>IF(OR(BX9=0,X9=0),"-",IF(ISERROR(BX9/X9/1000),"-",IF((BX9/X9/1000)&lt;=0,"-",BX9/X9/1000)))</f>
        <v>-</v>
      </c>
      <c r="EV9" s="67" t="str">
        <f>IF(OR(BY9=0,R26=0),"-",IF(ISERROR(BY9/R26/1000),"-",IF((BY9/R26/1000)&lt;=0,"-",BY9/R26/1000)))</f>
        <v>-</v>
      </c>
      <c r="EW9" s="59"/>
      <c r="EX9" s="66">
        <f>IF(OR(CA9=0,AA9=0),"-",IF(ISERROR(CA9/AA9/1000),"-",IF((CA9/AA9/1000)&lt;=0,"-",CA9/AA9/1000)))</f>
        <v>2.0592955997698434E-2</v>
      </c>
      <c r="EY9" s="67">
        <f>IF(OR(CB9=0,AB9=0),"-",IF(ISERROR(CB9/AB9/1000),"-",IF((CB9/AB9/1000)&lt;=0,"-",CB9/AB9/1000)))</f>
        <v>0.26831395348837206</v>
      </c>
      <c r="EZ9" s="67">
        <f>IF(OR(CE9=0,AE9=0),"-",IF(ISERROR(CE9/AE9/1000),"-",IF((CE9/AE9/1000)&lt;=0,"-",CE9/AE9/1000)))</f>
        <v>0.70964691046658257</v>
      </c>
      <c r="FA9" s="67" t="str">
        <f>IF(OR(CF9=0,AF9=0),"-",IF(ISERROR(CF9/AF9/1000),"-",IF((CF9/AF9/1000)&lt;=0,"-",CF9/AF9/1000)))</f>
        <v>-</v>
      </c>
      <c r="FB9" s="67">
        <f>IF(OR(CG9=0,AG9=0),"-",IF(ISERROR(CG9/AG9/1000),"-",IF((CG9/AG9/1000)&lt;=0,"-",CG9/AG9/1000)))</f>
        <v>0.12254638488164599</v>
      </c>
      <c r="FC9" s="59"/>
      <c r="FD9" s="66">
        <f>IF(OR(CI9=0,AI9=0),"-",IF(ISERROR(CI9/AI9/1000),"-",IF((CI9/AI9/1000)&lt;=0,"-",CI9/AI9/1000)))</f>
        <v>2.6822235633340041E-3</v>
      </c>
      <c r="FE9" s="67">
        <f>IF(OR(CJ9=0,AJ9=0),"-",IF(ISERROR(CJ9/AJ9/1000),"-",IF((CJ9/AJ9/1000)&lt;=0,"-",CJ9/AJ9/1000)))</f>
        <v>3.326471413867315E-2</v>
      </c>
      <c r="FF9" s="67">
        <f>IF(OR(CM9=0,AM9=0),"-",IF(ISERROR(CM9/AM9/1000),"-",IF((CM9/AM9/1000)&lt;=0,"-",CM9/AM9/1000)))</f>
        <v>0.29685324422166526</v>
      </c>
      <c r="FG9" s="67" t="str">
        <f>IF(OR(CN9=0,AN9=0),"-",IF(ISERROR(CN9/AN9/1000),"-",IF((CN9/AN9/1000)&lt;=0,"-",CN9/AN9/1000)))</f>
        <v>-</v>
      </c>
      <c r="FH9" s="67">
        <f>IF(OR(CO9=0,AO9=0),"-",IF(ISERROR(CO9/AO9/1000),"-",IF((CO9/AO9/1000)&lt;=0,"-",CO9/AO9/1000)))</f>
        <v>1.4535347163978401E-2</v>
      </c>
      <c r="FI9" s="59"/>
      <c r="FJ9" s="66" t="str">
        <f>IF(OR(CQ9=0,AQ9=0),"-",IF(ISERROR(CQ9/AQ9/1000),"-",IF((CQ9/AQ9/1000)&lt;=0,"-",CQ9/AQ9/1000)))</f>
        <v>-</v>
      </c>
      <c r="FK9" s="66" t="str">
        <f>IF(OR(CR9=0,AR9=0),"-",IF(ISERROR(CR9/AR9/1000),"-",IF((CR9/AR9/1000)&lt;=0,"-",CR9/AR9/1000)))</f>
        <v>-</v>
      </c>
      <c r="FL9" s="66" t="str">
        <f>IF(OR(CU9=0,AU9=0),"-",IF(ISERROR(CU9/AU9/1000),"-",IF((CU9/AU9/1000)&lt;=0,"-",CU9/AU9/1000)))</f>
        <v>-</v>
      </c>
      <c r="FM9" s="66" t="str">
        <f>IF(OR(CV9=0,AV9=0),"-",IF(ISERROR(CV9/AV9/1000),"-",IF((CV9/AV9/1000)&lt;=0,"-",CV9/AV9/1000)))</f>
        <v>-</v>
      </c>
      <c r="FN9" s="66" t="str">
        <f>IF(OR(CW9=0,AW9=0),"-",IF(ISERROR(CW9/AW9/1000),"-",IF((CW9/AW9/1000)&lt;=0,"-",CW9/AW9/1000)))</f>
        <v>-</v>
      </c>
      <c r="FP9" s="77"/>
      <c r="FQ9" s="77"/>
      <c r="FR9" s="77"/>
      <c r="FS9" s="77"/>
      <c r="FT9" s="68">
        <v>4346</v>
      </c>
      <c r="FV9" s="69" t="str">
        <f>IF(ISERROR(FP9/$R26/1000),"-",IF(FP9/$R26/1000=0,"-",FP9/$R26/1000))</f>
        <v>-</v>
      </c>
      <c r="FW9" s="69" t="str">
        <f>IF(ISERROR(FQ9/$AG9/1000),"-",IF(FQ9/$AG9/1000=0,"-",FQ9/$AG9/1000))</f>
        <v>-</v>
      </c>
      <c r="FX9" s="69" t="str">
        <f>IF(ISERROR(FR9/$AO9/1000),"-",IF(FR9/$AO9/1000=0,"-",FR9/$AO9/1000))</f>
        <v>-</v>
      </c>
      <c r="FY9" s="69" t="str">
        <f>IF(ISERROR(FS9/$AW9/1000),"-",IF(FS9/$AW9/1000=0,"-",FS9/$AW9/1000))</f>
        <v>-</v>
      </c>
      <c r="FZ9" s="69">
        <f>IF(ISERROR(FT9/$Q9/1000),"-",IF(FT9/$Q9/1000=0,"-",FT9/$Q9/1000))</f>
        <v>2.2779926827478484E-2</v>
      </c>
      <c r="GB9" s="77"/>
      <c r="GC9" s="77"/>
      <c r="GD9" s="77"/>
      <c r="GE9" s="77"/>
      <c r="GF9" s="79" t="str">
        <f>IF(SUM(GB9:GE9)=0,"-",SUM(GB9:GE9))</f>
        <v>-</v>
      </c>
      <c r="GH9" s="69" t="str">
        <f>IF(ISERROR(GB9/$R26/1000),"-",IF(GB9/$R26/1000=0,"-",GB9/$R26/1000))</f>
        <v>-</v>
      </c>
      <c r="GI9" s="69" t="str">
        <f>IF(ISERROR(GC9/$AG9/1000),"-",IF(GC9/$AG9/1000=0,"-",GC9/$AG9/1000))</f>
        <v>-</v>
      </c>
      <c r="GJ9" s="69" t="str">
        <f>IF(ISERROR(GD9/$AO9/1000),"-",IF(GD9/$AO9/1000=0,"-",GD9/$AO9/1000))</f>
        <v>-</v>
      </c>
      <c r="GK9" s="69" t="str">
        <f>IF(ISERROR(GE9/$AW9/1000),"-",IF(GE9/$AW9/1000=0,"-",GE9/$AW9/1000))</f>
        <v>-</v>
      </c>
      <c r="GL9" s="69" t="str">
        <f>IF(ISERROR(GF9/$Q9/1000),"-",IF(GF9/$Q9/1000=0,"-",GF9/$Q9/1000))</f>
        <v>-</v>
      </c>
    </row>
    <row r="10" spans="1:197" x14ac:dyDescent="0.25">
      <c r="A10" s="23" t="s">
        <v>39</v>
      </c>
      <c r="B10" s="23"/>
      <c r="C10" s="24">
        <f t="shared" si="17"/>
        <v>287.12399999999997</v>
      </c>
      <c r="D10" s="24">
        <f t="shared" si="17"/>
        <v>78.917000000000002</v>
      </c>
      <c r="E10" s="24">
        <f>IF(SUM(U10,AC10,AK10,BA10)&lt;=0,"-",SUM(U10,AC10,AK10,AS10,BA10))</f>
        <v>77.007999999999996</v>
      </c>
      <c r="F10" s="24">
        <f t="shared" si="17"/>
        <v>1.909</v>
      </c>
      <c r="G10" s="24">
        <f>IF(SUM(W10,AE10,AM10,BC10)&lt;=0,"-",SUM(W10,AE10,AM10,AU10,BC10))</f>
        <v>6.3579999999999997</v>
      </c>
      <c r="H10" s="24" t="str">
        <f t="shared" si="17"/>
        <v>-</v>
      </c>
      <c r="I10" s="24">
        <f t="shared" si="17"/>
        <v>372.399</v>
      </c>
      <c r="K10" s="24">
        <f t="shared" si="18"/>
        <v>287.12399999999997</v>
      </c>
      <c r="L10" s="24">
        <f t="shared" si="18"/>
        <v>78.917000000000002</v>
      </c>
      <c r="M10" s="24">
        <f>IF(SUM(U10,AC10,AK10,AS10)&lt;=0,"-",SUM(U10,AC10,AK10,AS10))</f>
        <v>77.007999999999996</v>
      </c>
      <c r="N10" s="24">
        <f t="shared" si="18"/>
        <v>1.909</v>
      </c>
      <c r="O10" s="24">
        <f>IF(SUM(W10,AE10,AM10,AU10)&lt;=0,"-",SUM(W10,AE10,AM10,AU10))</f>
        <v>6.3579999999999997</v>
      </c>
      <c r="P10" s="24" t="str">
        <f t="shared" si="18"/>
        <v>-</v>
      </c>
      <c r="Q10" s="24">
        <f>IF(SUM(Y10,AG10,AO10,AW10)&lt;=0,"-",SUM(Y10,AG10,AO10,AW10))</f>
        <v>372.399</v>
      </c>
      <c r="S10" s="26">
        <f>(158387)/1000</f>
        <v>158.387</v>
      </c>
      <c r="T10" s="26">
        <f>(29571)/1000</f>
        <v>29.571000000000002</v>
      </c>
      <c r="U10" s="26">
        <f>T10-V10</f>
        <v>28.931000000000001</v>
      </c>
      <c r="V10" s="26">
        <f>(640)/1000</f>
        <v>0.64</v>
      </c>
      <c r="W10" s="26">
        <f>(2558)/1000</f>
        <v>2.5579999999999998</v>
      </c>
      <c r="X10" s="26" t="s">
        <v>35</v>
      </c>
      <c r="Y10" s="25">
        <f>SUM(S10:T10,W10:X10)</f>
        <v>190.51599999999999</v>
      </c>
      <c r="Z10" s="25"/>
      <c r="AA10" s="26">
        <f>(2411+5750)/1000</f>
        <v>8.1609999999999996</v>
      </c>
      <c r="AB10" s="26">
        <f>(1375+3406)/1000</f>
        <v>4.7809999999999997</v>
      </c>
      <c r="AC10" s="26">
        <f>AB10-AD10</f>
        <v>4.6459999999999999</v>
      </c>
      <c r="AD10" s="26">
        <f>(17+118)/1000</f>
        <v>0.13500000000000001</v>
      </c>
      <c r="AE10" s="26">
        <f>(109+621)/1000</f>
        <v>0.73</v>
      </c>
      <c r="AF10" s="26" t="s">
        <v>35</v>
      </c>
      <c r="AG10" s="25">
        <f t="shared" si="20"/>
        <v>13.672000000000001</v>
      </c>
      <c r="AH10" s="25"/>
      <c r="AI10" s="26">
        <f>(23733+48090)/1000</f>
        <v>71.822999999999993</v>
      </c>
      <c r="AJ10" s="26">
        <f>(13021+27716)/1000</f>
        <v>40.737000000000002</v>
      </c>
      <c r="AK10" s="26">
        <f>AJ10-AL10</f>
        <v>39.713000000000001</v>
      </c>
      <c r="AL10" s="26">
        <f>(489+535)/1000</f>
        <v>1.024</v>
      </c>
      <c r="AM10" s="26">
        <f>(1322+1727)/1000</f>
        <v>3.0489999999999999</v>
      </c>
      <c r="AN10" s="26" t="s">
        <v>35</v>
      </c>
      <c r="AO10" s="25">
        <f t="shared" si="21"/>
        <v>115.60900000000001</v>
      </c>
      <c r="AP10" s="25"/>
      <c r="AQ10" s="26">
        <f>(44002+4751)/1000</f>
        <v>48.753</v>
      </c>
      <c r="AR10" s="26">
        <f>(3624+204)/1000</f>
        <v>3.8279999999999998</v>
      </c>
      <c r="AS10" s="26">
        <f>AR10-AT10</f>
        <v>3.718</v>
      </c>
      <c r="AT10" s="26">
        <f>(110)/1000</f>
        <v>0.11</v>
      </c>
      <c r="AU10" s="26">
        <f>(17+4)/1000</f>
        <v>2.1000000000000001E-2</v>
      </c>
      <c r="AV10" s="26">
        <v>0</v>
      </c>
      <c r="AW10" s="25">
        <f t="shared" si="22"/>
        <v>52.602000000000004</v>
      </c>
      <c r="AX10" s="25"/>
      <c r="AY10" s="26" t="s">
        <v>35</v>
      </c>
      <c r="AZ10" s="26" t="s">
        <v>35</v>
      </c>
      <c r="BA10" s="26" t="s">
        <v>35</v>
      </c>
      <c r="BB10" s="26" t="s">
        <v>35</v>
      </c>
      <c r="BC10" s="26" t="s">
        <v>35</v>
      </c>
      <c r="BD10" s="26" t="s">
        <v>35</v>
      </c>
      <c r="BE10" s="25">
        <f t="shared" si="23"/>
        <v>0</v>
      </c>
      <c r="BF10" s="25"/>
      <c r="BG10" s="24">
        <f t="shared" si="24"/>
        <v>519</v>
      </c>
      <c r="BH10" s="24">
        <f t="shared" si="24"/>
        <v>3081</v>
      </c>
      <c r="BI10" s="24">
        <f t="shared" si="25"/>
        <v>2586</v>
      </c>
      <c r="BJ10" s="24" t="str">
        <f t="shared" si="25"/>
        <v>-</v>
      </c>
      <c r="BK10" s="24">
        <f t="shared" si="25"/>
        <v>6186</v>
      </c>
      <c r="BM10" s="24">
        <f t="shared" si="26"/>
        <v>519</v>
      </c>
      <c r="BN10" s="24">
        <f t="shared" si="26"/>
        <v>3081</v>
      </c>
      <c r="BO10" s="24">
        <f t="shared" si="27"/>
        <v>2586</v>
      </c>
      <c r="BP10" s="24" t="str">
        <f t="shared" si="27"/>
        <v>-</v>
      </c>
      <c r="BQ10" s="24">
        <f t="shared" si="27"/>
        <v>6186</v>
      </c>
      <c r="BS10" s="26">
        <f>51</f>
        <v>51</v>
      </c>
      <c r="BT10" s="26">
        <f>319</f>
        <v>319</v>
      </c>
      <c r="BU10" s="26" t="s">
        <v>35</v>
      </c>
      <c r="BV10" s="26" t="s">
        <v>35</v>
      </c>
      <c r="BW10" s="26">
        <f>635</f>
        <v>635</v>
      </c>
      <c r="BX10" s="26" t="s">
        <v>35</v>
      </c>
      <c r="BY10" s="25">
        <f t="shared" si="28"/>
        <v>1005</v>
      </c>
      <c r="BZ10" s="25"/>
      <c r="CA10" s="26">
        <f>53+67</f>
        <v>120</v>
      </c>
      <c r="CB10" s="26">
        <f>225+452</f>
        <v>677</v>
      </c>
      <c r="CC10" s="26" t="s">
        <v>35</v>
      </c>
      <c r="CD10" s="26" t="s">
        <v>35</v>
      </c>
      <c r="CE10" s="26">
        <f>76+517</f>
        <v>593</v>
      </c>
      <c r="CF10" s="26" t="s">
        <v>35</v>
      </c>
      <c r="CG10" s="25">
        <f t="shared" si="29"/>
        <v>1390</v>
      </c>
      <c r="CH10" s="25"/>
      <c r="CI10" s="26">
        <f>123+188</f>
        <v>311</v>
      </c>
      <c r="CJ10" s="26">
        <f>507+1487</f>
        <v>1994</v>
      </c>
      <c r="CK10" s="26" t="s">
        <v>35</v>
      </c>
      <c r="CL10" s="26" t="s">
        <v>35</v>
      </c>
      <c r="CM10" s="26">
        <f>545+803</f>
        <v>1348</v>
      </c>
      <c r="CN10" s="26" t="s">
        <v>35</v>
      </c>
      <c r="CO10" s="25">
        <f t="shared" ref="CO10:CO11" si="70">SUM(CI10:CJ10,CM10:CN10)</f>
        <v>3653</v>
      </c>
      <c r="CP10" s="25"/>
      <c r="CQ10" s="26">
        <f>23+14</f>
        <v>37</v>
      </c>
      <c r="CR10" s="26">
        <f>90+1</f>
        <v>91</v>
      </c>
      <c r="CS10" s="26" t="s">
        <v>35</v>
      </c>
      <c r="CT10" s="26" t="s">
        <v>35</v>
      </c>
      <c r="CU10" s="26">
        <f>8+2</f>
        <v>10</v>
      </c>
      <c r="CV10" s="26" t="s">
        <v>35</v>
      </c>
      <c r="CW10" s="25">
        <f t="shared" si="31"/>
        <v>138</v>
      </c>
      <c r="CX10" s="25"/>
      <c r="CY10" s="26" t="s">
        <v>35</v>
      </c>
      <c r="CZ10" s="26" t="s">
        <v>35</v>
      </c>
      <c r="DA10" s="26" t="s">
        <v>35</v>
      </c>
      <c r="DB10" s="26" t="s">
        <v>35</v>
      </c>
      <c r="DC10" s="26" t="s">
        <v>35</v>
      </c>
      <c r="DD10" s="26" t="s">
        <v>35</v>
      </c>
      <c r="DE10" s="25">
        <f t="shared" si="32"/>
        <v>0</v>
      </c>
      <c r="DF10" s="25"/>
      <c r="DG10" s="28">
        <f t="shared" ref="DG10:DH11" si="71">IF(ISERROR(K10/$Q10),"-",IF(K10/$Q10&lt;=0,"-",K10/$Q10))</f>
        <v>0.77101173741068041</v>
      </c>
      <c r="DH10" s="28">
        <f t="shared" si="71"/>
        <v>0.21191517700101237</v>
      </c>
      <c r="DI10" s="28">
        <f t="shared" ref="DI10:DJ11" si="72">IF(ISERROR(O10/$Q10),"-",IF(O10/$Q10&lt;=0,"-",O10/$Q10))</f>
        <v>1.7073085588307165E-2</v>
      </c>
      <c r="DJ10" s="28" t="str">
        <f t="shared" si="72"/>
        <v>-</v>
      </c>
      <c r="DK10" s="25"/>
      <c r="DL10" s="27">
        <f t="shared" ref="DL10:DM11" si="73">IF(ISERROR(S10/$Y10),"-",IF(S10/$Y10&lt;=0,"-",S10/$Y10))</f>
        <v>0.83135799617879869</v>
      </c>
      <c r="DM10" s="27">
        <f t="shared" si="73"/>
        <v>0.15521531000020997</v>
      </c>
      <c r="DN10" s="27">
        <f>IF(ISERROR(W10/$Y10),"-",IF(W10/$Y10&lt;=0,"-",W10/$Y10))</f>
        <v>1.3426693820991412E-2</v>
      </c>
      <c r="DO10" s="27" t="str">
        <f t="shared" ref="DN10:DO11" si="74">IF(ISERROR(X10/$Y10),"-",IF(X10/$Y10&lt;=0,"-",X10/$Y10))</f>
        <v>-</v>
      </c>
      <c r="DP10" s="25"/>
      <c r="DQ10" s="27">
        <f t="shared" ref="DQ10:DR11" si="75">IF(ISERROR(AA10/$AG10),"-",IF(AA10/$AG10&lt;=0,"-",AA10/$AG10))</f>
        <v>0.59691339964891743</v>
      </c>
      <c r="DR10" s="27">
        <f t="shared" si="75"/>
        <v>0.34969280280866</v>
      </c>
      <c r="DS10" s="27">
        <f t="shared" ref="DS10:DT11" si="76">IF(ISERROR(AE10/$AG10),"-",IF(AE10/$AG10&lt;=0,"-",AE10/$AG10))</f>
        <v>5.3393797542422468E-2</v>
      </c>
      <c r="DT10" s="27" t="str">
        <f t="shared" si="76"/>
        <v>-</v>
      </c>
      <c r="DU10" s="25"/>
      <c r="DV10" s="27">
        <f t="shared" ref="DV10:DW11" si="77">IF(ISERROR(AI10/$AO10),"-",IF(AI10/$AO10&lt;=0,"-",AI10/$AO10))</f>
        <v>0.62125786054718912</v>
      </c>
      <c r="DW10" s="27">
        <f t="shared" si="77"/>
        <v>0.35236876021763008</v>
      </c>
      <c r="DX10" s="27">
        <f t="shared" ref="DX10:DY11" si="78">IF(ISERROR(AM10/$AM10),"-",IF(AM10/$AO10&lt;=0,"-",AM10/$AO10))</f>
        <v>2.6373379235180648E-2</v>
      </c>
      <c r="DY10" s="27" t="str">
        <f t="shared" si="78"/>
        <v>-</v>
      </c>
      <c r="DZ10" s="25"/>
      <c r="EA10" s="27">
        <f t="shared" ref="EA10:EB11" si="79">IF(ISERROR(AQ10/$AW10),"-",IF(AQ10/$AW10&lt;=0,"-",AQ10/$AW10))</f>
        <v>0.92682787726702398</v>
      </c>
      <c r="EB10" s="27">
        <f t="shared" si="79"/>
        <v>7.2772898368883301E-2</v>
      </c>
      <c r="EC10" s="27">
        <f t="shared" ref="EC10:ED11" si="80">IF(ISERROR(AU10/$AW10),"-",IF(AU10/$AW10&lt;=0,"-",AU10/$AW10))</f>
        <v>3.9922436409262004E-4</v>
      </c>
      <c r="ED10" s="27" t="str">
        <f t="shared" si="80"/>
        <v>-</v>
      </c>
      <c r="EE10" s="25"/>
      <c r="EF10" s="29">
        <f t="shared" ref="EF10:EF11" si="81">IF(ISERROR(V10/T10),"-",V10/T10)</f>
        <v>2.1642825741435865E-2</v>
      </c>
      <c r="EG10" s="29">
        <f t="shared" ref="EG10:EG11" si="82">IF(ISERROR(AD10/AB10),"-",AD10/AB10)</f>
        <v>2.8236770550094128E-2</v>
      </c>
      <c r="EH10" s="29">
        <f t="shared" ref="EH10:EH11" si="83">IF(ISERROR(AL10/AJ10),"-",AL10/AJ10)</f>
        <v>2.5136853474728132E-2</v>
      </c>
      <c r="EI10" s="29">
        <f t="shared" ref="EI10:EI11" si="84">IF(ISERROR(AT10/AR10),"-",AT10/AR10)</f>
        <v>2.8735632183908046E-2</v>
      </c>
      <c r="EJ10" s="29">
        <f t="shared" ref="EJ10:EJ11" si="85">IF(ISERROR(N10/L10),"-",N10/L10)</f>
        <v>2.4189971742463602E-2</v>
      </c>
      <c r="EK10" s="25"/>
      <c r="EL10" s="30">
        <f t="shared" ref="EL10:EL11" si="86">IF(ISERROR(BM10/K10/1000),"-",IF((BM10/K10/1000)&lt;=0,"-",BM10/K10/1000))</f>
        <v>1.8075813934049403E-3</v>
      </c>
      <c r="EM10" s="30">
        <f t="shared" si="48"/>
        <v>3.9041017778172003E-2</v>
      </c>
      <c r="EN10" s="30">
        <f t="shared" ref="EN10:EP11" si="87">IF(ISERROR(BO10/O10/1000),"-",IF((BO10/O10/1000)&lt;=0,"-",BO10/O10/1000))</f>
        <v>0.40673167662787041</v>
      </c>
      <c r="EO10" s="30" t="str">
        <f t="shared" si="87"/>
        <v>-</v>
      </c>
      <c r="EP10" s="30">
        <f t="shared" si="87"/>
        <v>1.6611215389944659E-2</v>
      </c>
      <c r="ER10" s="30">
        <f t="shared" ref="ER10:ES11" si="88">IF(OR(BS10=0,S10=0),"-",IF(ISERROR(BS10/S10/1000),"-",IF((BS10/S10/1000)&lt;=0,"-",BS10/S10/1000)))</f>
        <v>3.2199612341922001E-4</v>
      </c>
      <c r="ES10" s="31">
        <f t="shared" si="88"/>
        <v>1.0787595955496939E-2</v>
      </c>
      <c r="ET10" s="31">
        <f>IF(OR(BW10=0,W10=0),"-",IF(ISERROR(BW10/W10/1000),"-",IF((BW10/W10/1000)&lt;=0,"-",BW10/W10/1000)))</f>
        <v>0.24824081313526192</v>
      </c>
      <c r="EU10" s="31" t="str">
        <f t="shared" ref="ET10:EV11" si="89">IF(OR(BX10=0,X10=0),"-",IF(ISERROR(BX10/X10/1000),"-",IF((BX10/X10/1000)&lt;=0,"-",BX10/X10/1000)))</f>
        <v>-</v>
      </c>
      <c r="EV10" s="31">
        <f t="shared" si="89"/>
        <v>5.2751474941737176E-3</v>
      </c>
      <c r="EW10" s="25"/>
      <c r="EX10" s="30">
        <f t="shared" ref="EX10:EY11" si="90">IF(OR(CA10=0,AA10=0),"-",IF(ISERROR(CA10/AA10/1000),"-",IF((CA10/AA10/1000)&lt;=0,"-",CA10/AA10/1000)))</f>
        <v>1.4704080382306091E-2</v>
      </c>
      <c r="EY10" s="31">
        <f t="shared" si="90"/>
        <v>0.1416021752771387</v>
      </c>
      <c r="EZ10" s="31">
        <f t="shared" ref="EZ10:FB11" si="91">IF(OR(CE10=0,AE10=0),"-",IF(ISERROR(CE10/AE10/1000),"-",IF((CE10/AE10/1000)&lt;=0,"-",CE10/AE10/1000)))</f>
        <v>0.81232876712328761</v>
      </c>
      <c r="FA10" s="31" t="str">
        <f t="shared" si="91"/>
        <v>-</v>
      </c>
      <c r="FB10" s="31">
        <f t="shared" si="91"/>
        <v>0.10166764189584553</v>
      </c>
      <c r="FC10" s="25"/>
      <c r="FD10" s="30">
        <f t="shared" ref="FD10:FE11" si="92">IF(OR(CI10=0,AI10=0),"-",IF(ISERROR(CI10/AI10/1000),"-",IF((CI10/AI10/1000)&lt;=0,"-",CI10/AI10/1000)))</f>
        <v>4.3300892471770883E-3</v>
      </c>
      <c r="FE10" s="31">
        <f t="shared" si="92"/>
        <v>4.8948130691999901E-2</v>
      </c>
      <c r="FF10" s="31">
        <f t="shared" ref="FF10:FH11" si="93">IF(OR(CM10=0,AM10=0),"-",IF(ISERROR(CM10/AM10/1000),"-",IF((CM10/AM10/1000)&lt;=0,"-",CM10/AM10/1000)))</f>
        <v>0.4421121679239095</v>
      </c>
      <c r="FG10" s="31" t="str">
        <f t="shared" si="93"/>
        <v>-</v>
      </c>
      <c r="FH10" s="31">
        <f t="shared" si="93"/>
        <v>3.1597885977735295E-2</v>
      </c>
      <c r="FI10" s="25"/>
      <c r="FJ10" s="30">
        <f t="shared" ref="FJ10:FK11" si="94">IF(OR(CQ10=0,AQ10=0),"-",IF(ISERROR(CQ10/AQ10/1000),"-",IF((CQ10/AQ10/1000)&lt;=0,"-",CQ10/AQ10/1000)))</f>
        <v>7.5892765573400611E-4</v>
      </c>
      <c r="FK10" s="30">
        <f t="shared" si="94"/>
        <v>2.3772204806687566E-2</v>
      </c>
      <c r="FL10" s="30">
        <f t="shared" ref="FL10:FN11" si="95">IF(OR(CU10=0,AU10=0),"-",IF(ISERROR(CU10/AU10/1000),"-",IF((CU10/AU10/1000)&lt;=0,"-",CU10/AU10/1000)))</f>
        <v>0.47619047619047616</v>
      </c>
      <c r="FM10" s="30" t="str">
        <f t="shared" si="95"/>
        <v>-</v>
      </c>
      <c r="FN10" s="30">
        <f t="shared" si="95"/>
        <v>2.6234743926086459E-3</v>
      </c>
      <c r="FP10" s="26"/>
      <c r="FQ10" s="26"/>
      <c r="FR10" s="26"/>
      <c r="FS10" s="26"/>
      <c r="FT10" s="32">
        <f t="shared" ref="FT10:FT11" si="96">SUM(FP10:FS10)</f>
        <v>0</v>
      </c>
      <c r="FV10" s="33" t="str">
        <f t="shared" ref="FV10:FV11" si="97">IF(ISERROR(FP10/$Y10/1000),"-",IF(FP10/$Y10/1000=0,"-",FP10/$Y10/1000))</f>
        <v>-</v>
      </c>
      <c r="FW10" s="33" t="str">
        <f t="shared" ref="FW10:FW11" si="98">IF(ISERROR(FQ10/$AG10/1000),"-",IF(FQ10/$AG10/1000=0,"-",FQ10/$AG10/1000))</f>
        <v>-</v>
      </c>
      <c r="FX10" s="33" t="str">
        <f t="shared" ref="FX10:FX11" si="99">IF(ISERROR(FR10/$AO10/1000),"-",IF(FR10/$AO10/1000=0,"-",FR10/$AO10/1000))</f>
        <v>-</v>
      </c>
      <c r="FY10" s="33" t="str">
        <f t="shared" ref="FY10:FY11" si="100">IF(ISERROR(FS10/$AW10/1000),"-",IF(FS10/$AW10/1000=0,"-",FS10/$AW10/1000))</f>
        <v>-</v>
      </c>
      <c r="FZ10" s="33" t="str">
        <f t="shared" ref="FZ10:FZ11" si="101">IF(ISERROR(FT10/$Q10/1000),"-",IF(FT10/$Q10/1000=0,"-",FT10/$Q10/1000))</f>
        <v>-</v>
      </c>
      <c r="GF10" s="22" t="str">
        <f t="shared" si="64"/>
        <v>-</v>
      </c>
      <c r="GH10" s="33" t="str">
        <f t="shared" ref="GH10:GH11" si="102">IF(ISERROR(GB10/$Y10/1000),"-",IF(GB10/$Y10/1000=0,"-",GB10/$Y10/1000))</f>
        <v>-</v>
      </c>
      <c r="GI10" s="33" t="str">
        <f t="shared" ref="GI10:GI11" si="103">IF(ISERROR(GC10/$AG10/1000),"-",IF(GC10/$AG10/1000=0,"-",GC10/$AG10/1000))</f>
        <v>-</v>
      </c>
      <c r="GJ10" s="33" t="str">
        <f t="shared" ref="GJ10:GJ11" si="104">IF(ISERROR(GD10/$AO10/1000),"-",IF(GD10/$AO10/1000=0,"-",GD10/$AO10/1000))</f>
        <v>-</v>
      </c>
      <c r="GK10" s="33" t="str">
        <f t="shared" ref="GK10:GK11" si="105">IF(ISERROR(GE10/$AW10/1000),"-",IF(GE10/$AW10/1000=0,"-",GE10/$AW10/1000))</f>
        <v>-</v>
      </c>
      <c r="GL10" s="33" t="str">
        <f t="shared" ref="GL10:GL11" si="106">IF(ISERROR(GF10/$Q10/1000),"-",IF(GF10/$Q10/1000=0,"-",GF10/$Q10/1000))</f>
        <v>-</v>
      </c>
    </row>
    <row r="11" spans="1:197" s="41" customFormat="1" x14ac:dyDescent="0.25">
      <c r="A11" s="35" t="s">
        <v>40</v>
      </c>
      <c r="B11" s="35"/>
      <c r="C11" s="36">
        <f t="shared" si="17"/>
        <v>405.233</v>
      </c>
      <c r="D11" s="36">
        <f t="shared" si="17"/>
        <v>24.712000000000003</v>
      </c>
      <c r="E11" s="36" t="str">
        <f t="shared" si="17"/>
        <v>-</v>
      </c>
      <c r="F11" s="36" t="str">
        <f t="shared" si="17"/>
        <v>-</v>
      </c>
      <c r="G11" s="36">
        <f t="shared" si="17"/>
        <v>9.9210000000000012</v>
      </c>
      <c r="H11" s="36" t="str">
        <f t="shared" si="17"/>
        <v>-</v>
      </c>
      <c r="I11" s="36">
        <f t="shared" si="17"/>
        <v>439.86600000000004</v>
      </c>
      <c r="J11" s="36"/>
      <c r="K11" s="36">
        <f t="shared" si="18"/>
        <v>384.21199999999999</v>
      </c>
      <c r="L11" s="36">
        <f t="shared" si="18"/>
        <v>24.517000000000003</v>
      </c>
      <c r="M11" s="36" t="str">
        <f t="shared" si="18"/>
        <v>-</v>
      </c>
      <c r="N11" s="36" t="str">
        <f t="shared" si="18"/>
        <v>-</v>
      </c>
      <c r="O11" s="36">
        <f t="shared" si="18"/>
        <v>9.8070000000000004</v>
      </c>
      <c r="P11" s="36" t="str">
        <f t="shared" si="18"/>
        <v>-</v>
      </c>
      <c r="Q11" s="36">
        <f t="shared" si="18"/>
        <v>418.53600000000006</v>
      </c>
      <c r="R11" s="36"/>
      <c r="S11" s="26">
        <f>(83760)/1000</f>
        <v>83.76</v>
      </c>
      <c r="T11" s="26">
        <f>(1507)/1000</f>
        <v>1.5069999999999999</v>
      </c>
      <c r="U11" s="26" t="s">
        <v>35</v>
      </c>
      <c r="V11" s="26" t="s">
        <v>35</v>
      </c>
      <c r="W11" s="26">
        <f>(593)/1000</f>
        <v>0.59299999999999997</v>
      </c>
      <c r="X11" s="26" t="s">
        <v>35</v>
      </c>
      <c r="Y11" s="37">
        <f t="shared" si="19"/>
        <v>85.860000000000014</v>
      </c>
      <c r="Z11" s="37"/>
      <c r="AA11" s="26">
        <f>(113162+13132)/1000</f>
        <v>126.294</v>
      </c>
      <c r="AB11" s="26">
        <f>(2459+198)/1000</f>
        <v>2.657</v>
      </c>
      <c r="AC11" s="26" t="s">
        <v>35</v>
      </c>
      <c r="AD11" s="26" t="s">
        <v>35</v>
      </c>
      <c r="AE11" s="26">
        <f>(1173+389)/1000</f>
        <v>1.5620000000000001</v>
      </c>
      <c r="AF11" s="26" t="s">
        <v>35</v>
      </c>
      <c r="AG11" s="25">
        <f t="shared" si="20"/>
        <v>130.51300000000001</v>
      </c>
      <c r="AH11" s="37"/>
      <c r="AI11" s="26">
        <f>(20434)/1000</f>
        <v>20.434000000000001</v>
      </c>
      <c r="AJ11" s="26">
        <f>(3596)/1000</f>
        <v>3.5960000000000001</v>
      </c>
      <c r="AK11" s="26" t="s">
        <v>35</v>
      </c>
      <c r="AL11" s="26" t="s">
        <v>35</v>
      </c>
      <c r="AM11" s="26">
        <f>(2146)/1000</f>
        <v>2.1459999999999999</v>
      </c>
      <c r="AN11" s="26" t="s">
        <v>35</v>
      </c>
      <c r="AO11" s="25">
        <f t="shared" si="21"/>
        <v>26.176000000000002</v>
      </c>
      <c r="AP11" s="37"/>
      <c r="AQ11" s="26">
        <f>(44015+90559+19150)/1000</f>
        <v>153.72399999999999</v>
      </c>
      <c r="AR11" s="26">
        <f>(349+16408)/1000</f>
        <v>16.757000000000001</v>
      </c>
      <c r="AS11" s="26" t="s">
        <v>35</v>
      </c>
      <c r="AT11" s="26" t="s">
        <v>35</v>
      </c>
      <c r="AU11" s="26">
        <f>(5506)/1000</f>
        <v>5.5060000000000002</v>
      </c>
      <c r="AV11" s="26" t="s">
        <v>35</v>
      </c>
      <c r="AW11" s="25">
        <f t="shared" si="22"/>
        <v>175.98699999999999</v>
      </c>
      <c r="AX11" s="37"/>
      <c r="AY11" s="26">
        <f>(19246+1775)/1000</f>
        <v>21.021000000000001</v>
      </c>
      <c r="AZ11" s="26">
        <f>(195)/1000</f>
        <v>0.19500000000000001</v>
      </c>
      <c r="BA11" s="26" t="s">
        <v>35</v>
      </c>
      <c r="BB11" s="26" t="s">
        <v>35</v>
      </c>
      <c r="BC11" s="26">
        <f>(114)/1000</f>
        <v>0.114</v>
      </c>
      <c r="BD11" s="26" t="s">
        <v>35</v>
      </c>
      <c r="BE11" s="37">
        <f t="shared" si="23"/>
        <v>21.330000000000002</v>
      </c>
      <c r="BF11" s="37"/>
      <c r="BG11" s="36">
        <f t="shared" si="24"/>
        <v>640</v>
      </c>
      <c r="BH11" s="36">
        <f t="shared" si="24"/>
        <v>893</v>
      </c>
      <c r="BI11" s="36">
        <f t="shared" si="25"/>
        <v>5802</v>
      </c>
      <c r="BJ11" s="36" t="str">
        <f t="shared" si="25"/>
        <v>-</v>
      </c>
      <c r="BK11" s="36">
        <f>IF(SUM(BY11,CG11,CO11,DE11,CW11)&lt;=0,"-",SUM(BY11,CG11,CO11,DE11,CW11))</f>
        <v>7335</v>
      </c>
      <c r="BL11" s="36"/>
      <c r="BM11" s="36">
        <f t="shared" si="26"/>
        <v>625</v>
      </c>
      <c r="BN11" s="36">
        <f t="shared" si="26"/>
        <v>891</v>
      </c>
      <c r="BO11" s="36">
        <f t="shared" si="27"/>
        <v>5744</v>
      </c>
      <c r="BP11" s="36" t="str">
        <f t="shared" si="27"/>
        <v>-</v>
      </c>
      <c r="BQ11" s="36">
        <f t="shared" si="27"/>
        <v>7260</v>
      </c>
      <c r="BR11" s="36"/>
      <c r="BS11" s="26">
        <f>18</f>
        <v>18</v>
      </c>
      <c r="BT11" s="26">
        <f>36</f>
        <v>36</v>
      </c>
      <c r="BU11" s="26" t="s">
        <v>35</v>
      </c>
      <c r="BV11" s="26" t="s">
        <v>35</v>
      </c>
      <c r="BW11" s="26">
        <f>209</f>
        <v>209</v>
      </c>
      <c r="BX11" s="26" t="s">
        <v>35</v>
      </c>
      <c r="BY11" s="25">
        <f t="shared" si="28"/>
        <v>263</v>
      </c>
      <c r="BZ11" s="37"/>
      <c r="CA11" s="26">
        <f>429+9</f>
        <v>438</v>
      </c>
      <c r="CB11" s="26">
        <f>251</f>
        <v>251</v>
      </c>
      <c r="CC11" s="26" t="s">
        <v>35</v>
      </c>
      <c r="CD11" s="26" t="s">
        <v>35</v>
      </c>
      <c r="CE11" s="26">
        <f>569+162</f>
        <v>731</v>
      </c>
      <c r="CF11" s="26" t="s">
        <v>35</v>
      </c>
      <c r="CG11" s="37">
        <f>SUM(CA11:CB11,CE11:CF11)</f>
        <v>1420</v>
      </c>
      <c r="CH11" s="37"/>
      <c r="CI11" s="26">
        <f>28</f>
        <v>28</v>
      </c>
      <c r="CJ11" s="26">
        <f>100</f>
        <v>100</v>
      </c>
      <c r="CK11" s="26" t="s">
        <v>35</v>
      </c>
      <c r="CL11" s="26" t="s">
        <v>35</v>
      </c>
      <c r="CM11" s="26">
        <f>1545</f>
        <v>1545</v>
      </c>
      <c r="CN11" s="26" t="s">
        <v>35</v>
      </c>
      <c r="CO11" s="25">
        <f t="shared" si="70"/>
        <v>1673</v>
      </c>
      <c r="CP11" s="37"/>
      <c r="CQ11" s="26">
        <f>14+67+1+39+20</f>
        <v>141</v>
      </c>
      <c r="CR11" s="26">
        <f>3+387+78+36</f>
        <v>504</v>
      </c>
      <c r="CS11" s="26" t="s">
        <v>35</v>
      </c>
      <c r="CT11" s="26" t="s">
        <v>35</v>
      </c>
      <c r="CU11" s="26">
        <f>3065+194</f>
        <v>3259</v>
      </c>
      <c r="CV11" s="26" t="s">
        <v>35</v>
      </c>
      <c r="CW11" s="25">
        <f t="shared" si="31"/>
        <v>3904</v>
      </c>
      <c r="CX11" s="37"/>
      <c r="CY11" s="26">
        <f>15</f>
        <v>15</v>
      </c>
      <c r="CZ11" s="26">
        <f>2</f>
        <v>2</v>
      </c>
      <c r="DA11" s="26" t="s">
        <v>35</v>
      </c>
      <c r="DB11" s="26" t="s">
        <v>35</v>
      </c>
      <c r="DC11" s="26">
        <f>58</f>
        <v>58</v>
      </c>
      <c r="DD11" s="26" t="s">
        <v>35</v>
      </c>
      <c r="DE11" s="25">
        <f t="shared" si="32"/>
        <v>75</v>
      </c>
      <c r="DF11" s="37"/>
      <c r="DG11" s="28">
        <f t="shared" si="71"/>
        <v>0.91799032819160109</v>
      </c>
      <c r="DH11" s="28">
        <f t="shared" si="71"/>
        <v>5.8577995680180441E-2</v>
      </c>
      <c r="DI11" s="28">
        <f t="shared" si="72"/>
        <v>2.3431676128218358E-2</v>
      </c>
      <c r="DJ11" s="28" t="str">
        <f t="shared" si="72"/>
        <v>-</v>
      </c>
      <c r="DK11" s="37"/>
      <c r="DL11" s="27">
        <f t="shared" si="73"/>
        <v>0.97554157931516416</v>
      </c>
      <c r="DM11" s="27">
        <f t="shared" si="73"/>
        <v>1.7551828558117863E-2</v>
      </c>
      <c r="DN11" s="27">
        <f t="shared" si="74"/>
        <v>6.9065921267179118E-3</v>
      </c>
      <c r="DO11" s="27" t="str">
        <f t="shared" si="74"/>
        <v>-</v>
      </c>
      <c r="DP11" s="37"/>
      <c r="DQ11" s="27">
        <f t="shared" si="75"/>
        <v>0.96767371832690985</v>
      </c>
      <c r="DR11" s="27">
        <f t="shared" si="75"/>
        <v>2.0358125244228545E-2</v>
      </c>
      <c r="DS11" s="27">
        <f t="shared" si="76"/>
        <v>1.1968156428861492E-2</v>
      </c>
      <c r="DT11" s="27" t="str">
        <f t="shared" si="76"/>
        <v>-</v>
      </c>
      <c r="DU11" s="37"/>
      <c r="DV11" s="27">
        <f t="shared" si="77"/>
        <v>0.78063875305623465</v>
      </c>
      <c r="DW11" s="27">
        <f t="shared" si="77"/>
        <v>0.13737775061124693</v>
      </c>
      <c r="DX11" s="27">
        <f t="shared" si="78"/>
        <v>8.1983496332518321E-2</v>
      </c>
      <c r="DY11" s="27" t="str">
        <f t="shared" si="78"/>
        <v>-</v>
      </c>
      <c r="DZ11" s="37"/>
      <c r="EA11" s="27">
        <f t="shared" si="79"/>
        <v>0.87349633779767821</v>
      </c>
      <c r="EB11" s="27">
        <f t="shared" si="79"/>
        <v>9.5217260365822481E-2</v>
      </c>
      <c r="EC11" s="27">
        <f t="shared" si="80"/>
        <v>3.1286401836499292E-2</v>
      </c>
      <c r="ED11" s="27" t="str">
        <f t="shared" si="80"/>
        <v>-</v>
      </c>
      <c r="EE11" s="37"/>
      <c r="EF11" s="38" t="str">
        <f t="shared" si="81"/>
        <v>-</v>
      </c>
      <c r="EG11" s="38" t="str">
        <f t="shared" si="82"/>
        <v>-</v>
      </c>
      <c r="EH11" s="38" t="str">
        <f t="shared" si="83"/>
        <v>-</v>
      </c>
      <c r="EI11" s="38" t="str">
        <f t="shared" si="84"/>
        <v>-</v>
      </c>
      <c r="EJ11" s="38" t="str">
        <f t="shared" si="85"/>
        <v>-</v>
      </c>
      <c r="EK11" s="37"/>
      <c r="EL11" s="39">
        <f t="shared" si="86"/>
        <v>1.6267060893465067E-3</v>
      </c>
      <c r="EM11" s="30">
        <f t="shared" si="48"/>
        <v>3.6342129950646486E-2</v>
      </c>
      <c r="EN11" s="30">
        <f t="shared" si="87"/>
        <v>0.58570408891608028</v>
      </c>
      <c r="EO11" s="39" t="str">
        <f t="shared" si="87"/>
        <v>-</v>
      </c>
      <c r="EP11" s="39">
        <f t="shared" si="87"/>
        <v>1.7346178106542806E-2</v>
      </c>
      <c r="EQ11" s="36"/>
      <c r="ER11" s="39">
        <f t="shared" si="88"/>
        <v>2.1489971346704871E-4</v>
      </c>
      <c r="ES11" s="40">
        <f t="shared" si="88"/>
        <v>2.3888520238885203E-2</v>
      </c>
      <c r="ET11" s="40">
        <f t="shared" si="89"/>
        <v>0.35244519392917367</v>
      </c>
      <c r="EU11" s="40" t="str">
        <f t="shared" si="89"/>
        <v>-</v>
      </c>
      <c r="EV11" s="40">
        <f t="shared" si="89"/>
        <v>3.0631260191008613E-3</v>
      </c>
      <c r="EW11" s="37"/>
      <c r="EX11" s="39">
        <f t="shared" si="90"/>
        <v>3.4680982469475988E-3</v>
      </c>
      <c r="EY11" s="40">
        <f t="shared" si="90"/>
        <v>9.4467444486262708E-2</v>
      </c>
      <c r="EZ11" s="40">
        <f t="shared" si="91"/>
        <v>0.4679897567221511</v>
      </c>
      <c r="FA11" s="40" t="str">
        <f t="shared" si="91"/>
        <v>-</v>
      </c>
      <c r="FB11" s="40">
        <f t="shared" si="91"/>
        <v>1.0880142208055903E-2</v>
      </c>
      <c r="FC11" s="37"/>
      <c r="FD11" s="39">
        <f t="shared" si="92"/>
        <v>1.3702652442008417E-3</v>
      </c>
      <c r="FE11" s="40">
        <f t="shared" si="92"/>
        <v>2.7808676307007788E-2</v>
      </c>
      <c r="FF11" s="40">
        <f t="shared" si="93"/>
        <v>0.7199440820130476</v>
      </c>
      <c r="FG11" s="40" t="str">
        <f t="shared" si="93"/>
        <v>-</v>
      </c>
      <c r="FH11" s="40">
        <f t="shared" si="93"/>
        <v>6.3913508557457199E-2</v>
      </c>
      <c r="FI11" s="37"/>
      <c r="FJ11" s="39">
        <f t="shared" si="94"/>
        <v>9.1722827925372753E-4</v>
      </c>
      <c r="FK11" s="39">
        <f t="shared" si="94"/>
        <v>3.0076982753476155E-2</v>
      </c>
      <c r="FL11" s="39">
        <f t="shared" si="95"/>
        <v>0.59189974573192872</v>
      </c>
      <c r="FM11" s="39" t="str">
        <f t="shared" si="95"/>
        <v>-</v>
      </c>
      <c r="FN11" s="39">
        <f t="shared" si="95"/>
        <v>2.2183456732599565E-2</v>
      </c>
      <c r="FP11" s="26"/>
      <c r="FQ11" s="26"/>
      <c r="FR11" s="26"/>
      <c r="FS11" s="26"/>
      <c r="FT11" s="32">
        <f t="shared" si="96"/>
        <v>0</v>
      </c>
      <c r="FV11" s="42" t="str">
        <f t="shared" si="97"/>
        <v>-</v>
      </c>
      <c r="FW11" s="42" t="str">
        <f t="shared" si="98"/>
        <v>-</v>
      </c>
      <c r="FX11" s="42" t="str">
        <f t="shared" si="99"/>
        <v>-</v>
      </c>
      <c r="FY11" s="42" t="str">
        <f t="shared" si="100"/>
        <v>-</v>
      </c>
      <c r="FZ11" s="42" t="str">
        <f t="shared" si="101"/>
        <v>-</v>
      </c>
      <c r="GB11"/>
      <c r="GC11"/>
      <c r="GD11"/>
      <c r="GE11"/>
      <c r="GF11" s="22" t="str">
        <f t="shared" si="64"/>
        <v>-</v>
      </c>
      <c r="GH11" s="42" t="str">
        <f t="shared" si="102"/>
        <v>-</v>
      </c>
      <c r="GI11" s="42" t="str">
        <f t="shared" si="103"/>
        <v>-</v>
      </c>
      <c r="GJ11" s="42" t="str">
        <f t="shared" si="104"/>
        <v>-</v>
      </c>
      <c r="GK11" s="42" t="str">
        <f t="shared" si="105"/>
        <v>-</v>
      </c>
      <c r="GL11" s="42" t="str">
        <f t="shared" si="106"/>
        <v>-</v>
      </c>
    </row>
    <row r="12" spans="1:197" x14ac:dyDescent="0.25">
      <c r="AG12" s="45"/>
      <c r="GE12" s="32"/>
    </row>
    <row r="16" spans="1:197" x14ac:dyDescent="0.25">
      <c r="S16" s="46"/>
      <c r="T16" s="46"/>
      <c r="U16" s="47"/>
      <c r="V16" s="47"/>
      <c r="W16" s="48"/>
    </row>
    <row r="18" spans="19:173" x14ac:dyDescent="0.25">
      <c r="S18" s="16"/>
      <c r="T18" s="16"/>
      <c r="U18" s="16"/>
      <c r="V18" s="16"/>
      <c r="W18" s="16"/>
      <c r="X18" s="49"/>
    </row>
    <row r="19" spans="19:173" x14ac:dyDescent="0.25">
      <c r="S19" s="50"/>
      <c r="T19" s="50"/>
      <c r="U19" s="50"/>
      <c r="V19" s="48"/>
      <c r="W19" s="48"/>
      <c r="X19" s="48"/>
    </row>
    <row r="21" spans="19:173" x14ac:dyDescent="0.25">
      <c r="FQ21" s="32"/>
    </row>
  </sheetData>
  <mergeCells count="3">
    <mergeCell ref="GN4:GN5"/>
    <mergeCell ref="GO4:GO5"/>
    <mergeCell ref="BS5:BZ5"/>
  </mergeCells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4Q20</vt:lpstr>
    </vt:vector>
  </TitlesOfParts>
  <Company>Deloitte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jhkang</dc:creator>
  <cp:lastModifiedBy>jhkang</cp:lastModifiedBy>
  <dcterms:created xsi:type="dcterms:W3CDTF">2021-03-13T11:34:22Z</dcterms:created>
  <dcterms:modified xsi:type="dcterms:W3CDTF">2021-03-13T11:56:37Z</dcterms:modified>
</cp:coreProperties>
</file>