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jhkang\Documents\cra_flask\dataset\UK\"/>
    </mc:Choice>
  </mc:AlternateContent>
  <xr:revisionPtr revIDLastSave="0" documentId="13_ncr:1_{CCF4D3B6-523B-4DF9-8345-955F2335B796}" xr6:coauthVersionLast="45" xr6:coauthVersionMax="45" xr10:uidLastSave="{00000000-0000-0000-0000-000000000000}"/>
  <bookViews>
    <workbookView xWindow="4545" yWindow="1710" windowWidth="12150" windowHeight="15495" xr2:uid="{AAAD26BD-8E9C-447F-8B08-61072A676BE9}"/>
  </bookViews>
  <sheets>
    <sheet name="2Q20" sheetId="1" r:id="rId1"/>
  </sheets>
  <externalReferences>
    <externalReference r:id="rId2"/>
    <externalReference r:id="rId3"/>
    <externalReference r:id="rId4"/>
    <externalReference r:id="rId5"/>
  </externalReferences>
  <definedNames>
    <definedName name="LTVWtg">[1]Inputs!$K$25:$M$31</definedName>
    <definedName name="PurchaseOC">[2]Assumptions!$H$12</definedName>
    <definedName name="RemortgageOC">[2]Assumptions!$H$14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H24" i="1" l="1"/>
  <c r="GF24" i="1"/>
  <c r="FY24" i="1"/>
  <c r="FV24" i="1"/>
  <c r="FT24" i="1"/>
  <c r="FM24" i="1"/>
  <c r="FL24" i="1"/>
  <c r="FK24" i="1"/>
  <c r="FJ24" i="1"/>
  <c r="FG24" i="1"/>
  <c r="FF24" i="1"/>
  <c r="FE24" i="1"/>
  <c r="FD24" i="1"/>
  <c r="FA24" i="1"/>
  <c r="EZ24" i="1"/>
  <c r="EY24" i="1"/>
  <c r="EX24" i="1"/>
  <c r="EV24" i="1"/>
  <c r="EU24" i="1"/>
  <c r="ET24" i="1"/>
  <c r="ES24" i="1"/>
  <c r="ER24" i="1"/>
  <c r="EI24" i="1"/>
  <c r="EH24" i="1"/>
  <c r="EG24" i="1"/>
  <c r="EF24" i="1"/>
  <c r="EC24" i="1"/>
  <c r="EB24" i="1"/>
  <c r="DY24" i="1"/>
  <c r="DX24" i="1"/>
  <c r="DO24" i="1"/>
  <c r="DN24" i="1"/>
  <c r="DM24" i="1"/>
  <c r="DE24" i="1"/>
  <c r="CW24" i="1"/>
  <c r="BK24" i="1" s="1"/>
  <c r="CO24" i="1"/>
  <c r="FH24" i="1" s="1"/>
  <c r="CG24" i="1"/>
  <c r="BY24" i="1"/>
  <c r="BP24" i="1"/>
  <c r="EO24" i="1" s="1"/>
  <c r="BO24" i="1"/>
  <c r="BN24" i="1"/>
  <c r="BM24" i="1"/>
  <c r="EL24" i="1" s="1"/>
  <c r="BJ24" i="1"/>
  <c r="BI24" i="1"/>
  <c r="BH24" i="1"/>
  <c r="BG24" i="1"/>
  <c r="GN24" i="1" s="1"/>
  <c r="BE24" i="1"/>
  <c r="AW24" i="1"/>
  <c r="GK24" i="1" s="1"/>
  <c r="AO24" i="1"/>
  <c r="FX24" i="1" s="1"/>
  <c r="AG24" i="1"/>
  <c r="FB24" i="1" s="1"/>
  <c r="Y24" i="1"/>
  <c r="DL24" i="1" s="1"/>
  <c r="P24" i="1"/>
  <c r="O24" i="1"/>
  <c r="EN24" i="1" s="1"/>
  <c r="N24" i="1"/>
  <c r="EJ24" i="1" s="1"/>
  <c r="M24" i="1"/>
  <c r="L24" i="1"/>
  <c r="EM24" i="1" s="1"/>
  <c r="K24" i="1"/>
  <c r="H24" i="1"/>
  <c r="G24" i="1"/>
  <c r="F24" i="1"/>
  <c r="E24" i="1"/>
  <c r="D24" i="1"/>
  <c r="C24" i="1"/>
  <c r="GO24" i="1" s="1"/>
  <c r="GJ23" i="1"/>
  <c r="GF23" i="1"/>
  <c r="FX23" i="1"/>
  <c r="FW23" i="1"/>
  <c r="FT23" i="1"/>
  <c r="FM23" i="1"/>
  <c r="FL23" i="1"/>
  <c r="FK23" i="1"/>
  <c r="FJ23" i="1"/>
  <c r="FH23" i="1"/>
  <c r="FG23" i="1"/>
  <c r="FF23" i="1"/>
  <c r="FE23" i="1"/>
  <c r="FD23" i="1"/>
  <c r="FA23" i="1"/>
  <c r="EZ23" i="1"/>
  <c r="EY23" i="1"/>
  <c r="EX23" i="1"/>
  <c r="EU23" i="1"/>
  <c r="ET23" i="1"/>
  <c r="ES23" i="1"/>
  <c r="ER23" i="1"/>
  <c r="EO23" i="1"/>
  <c r="EI23" i="1"/>
  <c r="EH23" i="1"/>
  <c r="EG23" i="1"/>
  <c r="EF23" i="1"/>
  <c r="DY23" i="1"/>
  <c r="DX23" i="1"/>
  <c r="DW23" i="1"/>
  <c r="DV23" i="1"/>
  <c r="DT23" i="1"/>
  <c r="DQ23" i="1"/>
  <c r="DE23" i="1"/>
  <c r="CW23" i="1"/>
  <c r="CO23" i="1"/>
  <c r="CG23" i="1"/>
  <c r="FB23" i="1" s="1"/>
  <c r="BY23" i="1"/>
  <c r="BK23" i="1" s="1"/>
  <c r="BP23" i="1"/>
  <c r="BO23" i="1"/>
  <c r="EN23" i="1" s="1"/>
  <c r="BN23" i="1"/>
  <c r="EM23" i="1" s="1"/>
  <c r="BM23" i="1"/>
  <c r="BJ23" i="1"/>
  <c r="BI23" i="1"/>
  <c r="BH23" i="1"/>
  <c r="BG23" i="1"/>
  <c r="GN23" i="1" s="1"/>
  <c r="BE23" i="1"/>
  <c r="AW23" i="1"/>
  <c r="FN23" i="1" s="1"/>
  <c r="AO23" i="1"/>
  <c r="AG23" i="1"/>
  <c r="DR23" i="1" s="1"/>
  <c r="Y23" i="1"/>
  <c r="GH23" i="1" s="1"/>
  <c r="P23" i="1"/>
  <c r="O23" i="1"/>
  <c r="N23" i="1"/>
  <c r="EJ23" i="1" s="1"/>
  <c r="M23" i="1"/>
  <c r="L23" i="1"/>
  <c r="K23" i="1"/>
  <c r="EL23" i="1" s="1"/>
  <c r="I23" i="1"/>
  <c r="H23" i="1"/>
  <c r="G23" i="1"/>
  <c r="F23" i="1"/>
  <c r="E23" i="1"/>
  <c r="D23" i="1"/>
  <c r="GO23" i="1" s="1"/>
  <c r="C23" i="1"/>
  <c r="GH22" i="1"/>
  <c r="GF22" i="1"/>
  <c r="FY22" i="1"/>
  <c r="FV22" i="1"/>
  <c r="FT22" i="1"/>
  <c r="FM22" i="1"/>
  <c r="FL22" i="1"/>
  <c r="FK22" i="1"/>
  <c r="FJ22" i="1"/>
  <c r="FG22" i="1"/>
  <c r="FF22" i="1"/>
  <c r="FE22" i="1"/>
  <c r="FD22" i="1"/>
  <c r="FA22" i="1"/>
  <c r="EZ22" i="1"/>
  <c r="EY22" i="1"/>
  <c r="EX22" i="1"/>
  <c r="EV22" i="1"/>
  <c r="EU22" i="1"/>
  <c r="ET22" i="1"/>
  <c r="ES22" i="1"/>
  <c r="ER22" i="1"/>
  <c r="EI22" i="1"/>
  <c r="EH22" i="1"/>
  <c r="EG22" i="1"/>
  <c r="EF22" i="1"/>
  <c r="EC22" i="1"/>
  <c r="EB22" i="1"/>
  <c r="DS22" i="1"/>
  <c r="DO22" i="1"/>
  <c r="DN22" i="1"/>
  <c r="DM22" i="1"/>
  <c r="DE22" i="1"/>
  <c r="CW22" i="1"/>
  <c r="BQ22" i="1" s="1"/>
  <c r="CO22" i="1"/>
  <c r="FH22" i="1" s="1"/>
  <c r="CG22" i="1"/>
  <c r="BY22" i="1"/>
  <c r="BP22" i="1"/>
  <c r="EO22" i="1" s="1"/>
  <c r="BO22" i="1"/>
  <c r="BN22" i="1"/>
  <c r="BM22" i="1"/>
  <c r="EL22" i="1" s="1"/>
  <c r="BJ22" i="1"/>
  <c r="BI22" i="1"/>
  <c r="BH22" i="1"/>
  <c r="BG22" i="1"/>
  <c r="GN22" i="1" s="1"/>
  <c r="BE22" i="1"/>
  <c r="AW22" i="1"/>
  <c r="ED22" i="1" s="1"/>
  <c r="AO22" i="1"/>
  <c r="GJ22" i="1" s="1"/>
  <c r="AG22" i="1"/>
  <c r="DT22" i="1" s="1"/>
  <c r="Y22" i="1"/>
  <c r="DL22" i="1" s="1"/>
  <c r="P22" i="1"/>
  <c r="O22" i="1"/>
  <c r="EN22" i="1" s="1"/>
  <c r="N22" i="1"/>
  <c r="EJ22" i="1" s="1"/>
  <c r="M22" i="1"/>
  <c r="L22" i="1"/>
  <c r="EM22" i="1" s="1"/>
  <c r="K22" i="1"/>
  <c r="H22" i="1"/>
  <c r="G22" i="1"/>
  <c r="F22" i="1"/>
  <c r="E22" i="1"/>
  <c r="D22" i="1"/>
  <c r="C22" i="1"/>
  <c r="GO22" i="1" s="1"/>
  <c r="GK21" i="1"/>
  <c r="GH21" i="1"/>
  <c r="FY21" i="1"/>
  <c r="FV21" i="1"/>
  <c r="FM21" i="1"/>
  <c r="FL21" i="1"/>
  <c r="FK21" i="1"/>
  <c r="FJ21" i="1"/>
  <c r="FG21" i="1"/>
  <c r="FF21" i="1"/>
  <c r="FE21" i="1"/>
  <c r="FD21" i="1"/>
  <c r="FA21" i="1"/>
  <c r="EZ21" i="1"/>
  <c r="EY21" i="1"/>
  <c r="EX21" i="1"/>
  <c r="EV21" i="1"/>
  <c r="EU21" i="1"/>
  <c r="ET21" i="1"/>
  <c r="ES21" i="1"/>
  <c r="ER21" i="1"/>
  <c r="EI21" i="1"/>
  <c r="EH21" i="1"/>
  <c r="EG21" i="1"/>
  <c r="EF21" i="1"/>
  <c r="EC21" i="1"/>
  <c r="EB21" i="1"/>
  <c r="DS21" i="1"/>
  <c r="DO21" i="1"/>
  <c r="DN21" i="1"/>
  <c r="DM21" i="1"/>
  <c r="DE21" i="1"/>
  <c r="CW21" i="1"/>
  <c r="FN21" i="1" s="1"/>
  <c r="CO21" i="1"/>
  <c r="FH21" i="1" s="1"/>
  <c r="CG21" i="1"/>
  <c r="BY21" i="1"/>
  <c r="BQ21" i="1"/>
  <c r="BP21" i="1"/>
  <c r="EO21" i="1" s="1"/>
  <c r="BO21" i="1"/>
  <c r="BN21" i="1"/>
  <c r="BM21" i="1"/>
  <c r="EL21" i="1" s="1"/>
  <c r="BJ21" i="1"/>
  <c r="BI21" i="1"/>
  <c r="BH21" i="1"/>
  <c r="BG21" i="1"/>
  <c r="GN21" i="1" s="1"/>
  <c r="BE21" i="1"/>
  <c r="AW21" i="1"/>
  <c r="ED21" i="1" s="1"/>
  <c r="AO21" i="1"/>
  <c r="GJ21" i="1" s="1"/>
  <c r="AG21" i="1"/>
  <c r="FW21" i="1" s="1"/>
  <c r="Y21" i="1"/>
  <c r="DL21" i="1" s="1"/>
  <c r="P21" i="1"/>
  <c r="O21" i="1"/>
  <c r="EN21" i="1" s="1"/>
  <c r="N21" i="1"/>
  <c r="EJ21" i="1" s="1"/>
  <c r="M21" i="1"/>
  <c r="L21" i="1"/>
  <c r="EM21" i="1" s="1"/>
  <c r="K21" i="1"/>
  <c r="H21" i="1"/>
  <c r="G21" i="1"/>
  <c r="F21" i="1"/>
  <c r="E21" i="1"/>
  <c r="D21" i="1"/>
  <c r="C21" i="1"/>
  <c r="GO21" i="1" s="1"/>
  <c r="GO20" i="1"/>
  <c r="GK20" i="1"/>
  <c r="GF20" i="1"/>
  <c r="FW20" i="1"/>
  <c r="FM20" i="1"/>
  <c r="FL20" i="1"/>
  <c r="FK20" i="1"/>
  <c r="FJ20" i="1"/>
  <c r="FG20" i="1"/>
  <c r="FF20" i="1"/>
  <c r="FE20" i="1"/>
  <c r="FD20" i="1"/>
  <c r="FB20" i="1"/>
  <c r="FA20" i="1"/>
  <c r="EZ20" i="1"/>
  <c r="EY20" i="1"/>
  <c r="EX20" i="1"/>
  <c r="EU20" i="1"/>
  <c r="ET20" i="1"/>
  <c r="ES20" i="1"/>
  <c r="ER20" i="1"/>
  <c r="EI20" i="1"/>
  <c r="EH20" i="1"/>
  <c r="EG20" i="1"/>
  <c r="ED20" i="1"/>
  <c r="DY20" i="1"/>
  <c r="DX20" i="1"/>
  <c r="DT20" i="1"/>
  <c r="DS20" i="1"/>
  <c r="DQ20" i="1"/>
  <c r="DO20" i="1"/>
  <c r="DE20" i="1"/>
  <c r="CW20" i="1"/>
  <c r="FN20" i="1" s="1"/>
  <c r="CO20" i="1"/>
  <c r="CG20" i="1"/>
  <c r="BY20" i="1"/>
  <c r="BP20" i="1"/>
  <c r="BO20" i="1"/>
  <c r="BN20" i="1"/>
  <c r="EM20" i="1" s="1"/>
  <c r="BM20" i="1"/>
  <c r="BJ20" i="1"/>
  <c r="BI20" i="1"/>
  <c r="BH20" i="1"/>
  <c r="BG20" i="1"/>
  <c r="GN20" i="1" s="1"/>
  <c r="BE20" i="1"/>
  <c r="AW20" i="1"/>
  <c r="AO20" i="1"/>
  <c r="I20" i="1" s="1"/>
  <c r="AL20" i="1"/>
  <c r="AG20" i="1"/>
  <c r="GI20" i="1" s="1"/>
  <c r="Y20" i="1"/>
  <c r="V20" i="1"/>
  <c r="EF20" i="1" s="1"/>
  <c r="P20" i="1"/>
  <c r="EO20" i="1" s="1"/>
  <c r="O20" i="1"/>
  <c r="M20" i="1"/>
  <c r="L20" i="1"/>
  <c r="K20" i="1"/>
  <c r="H20" i="1"/>
  <c r="G20" i="1"/>
  <c r="F20" i="1"/>
  <c r="E20" i="1"/>
  <c r="D20" i="1"/>
  <c r="C20" i="1"/>
  <c r="GI19" i="1"/>
  <c r="GF19" i="1"/>
  <c r="FY19" i="1"/>
  <c r="FW19" i="1"/>
  <c r="FM19" i="1"/>
  <c r="FL19" i="1"/>
  <c r="FK19" i="1"/>
  <c r="FJ19" i="1"/>
  <c r="FG19" i="1"/>
  <c r="FF19" i="1"/>
  <c r="FE19" i="1"/>
  <c r="FD19" i="1"/>
  <c r="FB19" i="1"/>
  <c r="FA19" i="1"/>
  <c r="EZ19" i="1"/>
  <c r="EY19" i="1"/>
  <c r="EX19" i="1"/>
  <c r="EU19" i="1"/>
  <c r="ET19" i="1"/>
  <c r="ER19" i="1"/>
  <c r="EN19" i="1"/>
  <c r="EI19" i="1"/>
  <c r="EH19" i="1"/>
  <c r="EG19" i="1"/>
  <c r="EC19" i="1"/>
  <c r="EB19" i="1"/>
  <c r="DY19" i="1"/>
  <c r="DX19" i="1"/>
  <c r="DT19" i="1"/>
  <c r="DS19" i="1"/>
  <c r="DR19" i="1"/>
  <c r="DE19" i="1"/>
  <c r="CW19" i="1"/>
  <c r="FN19" i="1" s="1"/>
  <c r="CO19" i="1"/>
  <c r="FH19" i="1" s="1"/>
  <c r="CG19" i="1"/>
  <c r="BT19" i="1"/>
  <c r="BN19" i="1" s="1"/>
  <c r="BP19" i="1"/>
  <c r="EO19" i="1" s="1"/>
  <c r="BO19" i="1"/>
  <c r="BM19" i="1"/>
  <c r="EL19" i="1" s="1"/>
  <c r="BJ19" i="1"/>
  <c r="BI19" i="1"/>
  <c r="BH19" i="1"/>
  <c r="GN19" i="1" s="1"/>
  <c r="BG19" i="1"/>
  <c r="BE19" i="1"/>
  <c r="AW19" i="1"/>
  <c r="AO19" i="1"/>
  <c r="AG19" i="1"/>
  <c r="DQ19" i="1" s="1"/>
  <c r="T19" i="1"/>
  <c r="P19" i="1"/>
  <c r="O19" i="1"/>
  <c r="N19" i="1"/>
  <c r="M19" i="1"/>
  <c r="K19" i="1"/>
  <c r="H19" i="1"/>
  <c r="G19" i="1"/>
  <c r="F19" i="1"/>
  <c r="E19" i="1"/>
  <c r="D19" i="1"/>
  <c r="GO19" i="1" s="1"/>
  <c r="C19" i="1"/>
  <c r="GN18" i="1"/>
  <c r="GI18" i="1"/>
  <c r="GF18" i="1"/>
  <c r="FY18" i="1"/>
  <c r="FX18" i="1"/>
  <c r="FN18" i="1"/>
  <c r="FM18" i="1"/>
  <c r="FL18" i="1"/>
  <c r="FG18" i="1"/>
  <c r="FF18" i="1"/>
  <c r="FE18" i="1"/>
  <c r="FD18" i="1"/>
  <c r="FA18" i="1"/>
  <c r="EZ18" i="1"/>
  <c r="EY18" i="1"/>
  <c r="EX18" i="1"/>
  <c r="EU18" i="1"/>
  <c r="ET18" i="1"/>
  <c r="ES18" i="1"/>
  <c r="ER18" i="1"/>
  <c r="EO18" i="1"/>
  <c r="EH18" i="1"/>
  <c r="EG18" i="1"/>
  <c r="EF18" i="1"/>
  <c r="EC18" i="1"/>
  <c r="DW18" i="1"/>
  <c r="DR18" i="1"/>
  <c r="DQ18" i="1"/>
  <c r="DM18" i="1"/>
  <c r="DE18" i="1"/>
  <c r="CW18" i="1"/>
  <c r="CO18" i="1"/>
  <c r="FH18" i="1" s="1"/>
  <c r="CG18" i="1"/>
  <c r="BY18" i="1"/>
  <c r="BP18" i="1"/>
  <c r="BO18" i="1"/>
  <c r="BN18" i="1"/>
  <c r="BM18" i="1"/>
  <c r="BJ18" i="1"/>
  <c r="BI18" i="1"/>
  <c r="BH18" i="1"/>
  <c r="BG18" i="1"/>
  <c r="BE18" i="1"/>
  <c r="AW18" i="1"/>
  <c r="GK18" i="1" s="1"/>
  <c r="AR18" i="1"/>
  <c r="L18" i="1" s="1"/>
  <c r="AQ18" i="1"/>
  <c r="C18" i="1" s="1"/>
  <c r="AO18" i="1"/>
  <c r="DV18" i="1" s="1"/>
  <c r="AL18" i="1"/>
  <c r="AG18" i="1"/>
  <c r="DS18" i="1" s="1"/>
  <c r="Y18" i="1"/>
  <c r="GH18" i="1" s="1"/>
  <c r="V18" i="1"/>
  <c r="N18" i="1" s="1"/>
  <c r="P18" i="1"/>
  <c r="O18" i="1"/>
  <c r="M18" i="1"/>
  <c r="I18" i="1"/>
  <c r="H18" i="1"/>
  <c r="G18" i="1"/>
  <c r="F18" i="1"/>
  <c r="E18" i="1"/>
  <c r="GJ17" i="1"/>
  <c r="GF17" i="1"/>
  <c r="FM17" i="1"/>
  <c r="FL17" i="1"/>
  <c r="FK17" i="1"/>
  <c r="FJ17" i="1"/>
  <c r="FG17" i="1"/>
  <c r="FF17" i="1"/>
  <c r="FE17" i="1"/>
  <c r="FD17" i="1"/>
  <c r="EI17" i="1"/>
  <c r="EH17" i="1"/>
  <c r="ED17" i="1"/>
  <c r="DX17" i="1"/>
  <c r="DW17" i="1"/>
  <c r="CY17" i="1"/>
  <c r="DE17" i="1" s="1"/>
  <c r="CW17" i="1"/>
  <c r="CO17" i="1"/>
  <c r="FH17" i="1" s="1"/>
  <c r="CG17" i="1"/>
  <c r="CF17" i="1"/>
  <c r="CE17" i="1"/>
  <c r="BW17" i="1" s="1"/>
  <c r="BO17" i="1" s="1"/>
  <c r="CB17" i="1"/>
  <c r="BT17" i="1" s="1"/>
  <c r="CA17" i="1"/>
  <c r="BS17" i="1" s="1"/>
  <c r="BE17" i="1"/>
  <c r="AW17" i="1"/>
  <c r="AO17" i="1"/>
  <c r="X17" i="1"/>
  <c r="W17" i="1"/>
  <c r="AE17" i="1" s="1"/>
  <c r="T17" i="1"/>
  <c r="EF17" i="1" s="1"/>
  <c r="S17" i="1"/>
  <c r="N17" i="1"/>
  <c r="M17" i="1"/>
  <c r="F17" i="1"/>
  <c r="E17" i="1"/>
  <c r="GK16" i="1"/>
  <c r="GH16" i="1"/>
  <c r="GF16" i="1"/>
  <c r="FY16" i="1"/>
  <c r="FX16" i="1"/>
  <c r="FN16" i="1"/>
  <c r="FM16" i="1"/>
  <c r="FL16" i="1"/>
  <c r="FK16" i="1"/>
  <c r="FJ16" i="1"/>
  <c r="FH16" i="1"/>
  <c r="FG16" i="1"/>
  <c r="FF16" i="1"/>
  <c r="FE16" i="1"/>
  <c r="FD16" i="1"/>
  <c r="FA16" i="1"/>
  <c r="EZ16" i="1"/>
  <c r="EY16" i="1"/>
  <c r="EX16" i="1"/>
  <c r="EU16" i="1"/>
  <c r="ET16" i="1"/>
  <c r="ES16" i="1"/>
  <c r="ER16" i="1"/>
  <c r="EO16" i="1"/>
  <c r="EJ16" i="1"/>
  <c r="EI16" i="1"/>
  <c r="EH16" i="1"/>
  <c r="EG16" i="1"/>
  <c r="EF16" i="1"/>
  <c r="ED16" i="1"/>
  <c r="EB16" i="1"/>
  <c r="DY16" i="1"/>
  <c r="DX16" i="1"/>
  <c r="DW16" i="1"/>
  <c r="DV16" i="1"/>
  <c r="DR16" i="1"/>
  <c r="DQ16" i="1"/>
  <c r="DM16" i="1"/>
  <c r="DL16" i="1"/>
  <c r="DE16" i="1"/>
  <c r="CW16" i="1"/>
  <c r="CO16" i="1"/>
  <c r="CG16" i="1"/>
  <c r="FB16" i="1" s="1"/>
  <c r="BY16" i="1"/>
  <c r="BK16" i="1" s="1"/>
  <c r="BP16" i="1"/>
  <c r="BO16" i="1"/>
  <c r="BN16" i="1"/>
  <c r="EM16" i="1" s="1"/>
  <c r="BM16" i="1"/>
  <c r="BJ16" i="1"/>
  <c r="BI16" i="1"/>
  <c r="BH16" i="1"/>
  <c r="BG16" i="1"/>
  <c r="GN16" i="1" s="1"/>
  <c r="BE16" i="1"/>
  <c r="AW16" i="1"/>
  <c r="EC16" i="1" s="1"/>
  <c r="AO16" i="1"/>
  <c r="GJ16" i="1" s="1"/>
  <c r="AG16" i="1"/>
  <c r="Y16" i="1"/>
  <c r="P16" i="1"/>
  <c r="O16" i="1"/>
  <c r="EN16" i="1" s="1"/>
  <c r="N16" i="1"/>
  <c r="M16" i="1"/>
  <c r="L16" i="1"/>
  <c r="K16" i="1"/>
  <c r="H16" i="1"/>
  <c r="G16" i="1"/>
  <c r="F16" i="1"/>
  <c r="E16" i="1"/>
  <c r="D16" i="1"/>
  <c r="C16" i="1"/>
  <c r="GO16" i="1" s="1"/>
  <c r="FY15" i="1"/>
  <c r="FM15" i="1"/>
  <c r="FL15" i="1"/>
  <c r="FK15" i="1"/>
  <c r="FJ15" i="1"/>
  <c r="FG15" i="1"/>
  <c r="FF15" i="1"/>
  <c r="FD15" i="1"/>
  <c r="FA15" i="1"/>
  <c r="EZ15" i="1"/>
  <c r="EY15" i="1"/>
  <c r="EX15" i="1"/>
  <c r="EU15" i="1"/>
  <c r="ET15" i="1"/>
  <c r="ES15" i="1"/>
  <c r="ER15" i="1"/>
  <c r="EJ15" i="1"/>
  <c r="EI15" i="1"/>
  <c r="EG15" i="1"/>
  <c r="EF15" i="1"/>
  <c r="ED15" i="1"/>
  <c r="EA15" i="1"/>
  <c r="DE15" i="1"/>
  <c r="CW15" i="1"/>
  <c r="CJ15" i="1"/>
  <c r="FE15" i="1" s="1"/>
  <c r="CG15" i="1"/>
  <c r="CB15" i="1"/>
  <c r="BT15" i="1"/>
  <c r="BY15" i="1" s="1"/>
  <c r="BP15" i="1"/>
  <c r="BO15" i="1"/>
  <c r="BN15" i="1"/>
  <c r="EM15" i="1" s="1"/>
  <c r="BM15" i="1"/>
  <c r="EL15" i="1" s="1"/>
  <c r="BJ15" i="1"/>
  <c r="BI15" i="1"/>
  <c r="BH15" i="1"/>
  <c r="GN15" i="1" s="1"/>
  <c r="BG15" i="1"/>
  <c r="BE15" i="1"/>
  <c r="AW15" i="1"/>
  <c r="AO15" i="1"/>
  <c r="GJ15" i="1" s="1"/>
  <c r="AJ15" i="1"/>
  <c r="EH15" i="1" s="1"/>
  <c r="AG15" i="1"/>
  <c r="DS15" i="1" s="1"/>
  <c r="AB15" i="1"/>
  <c r="Y15" i="1"/>
  <c r="T15" i="1"/>
  <c r="Q15" i="1"/>
  <c r="P15" i="1"/>
  <c r="EO15" i="1" s="1"/>
  <c r="O15" i="1"/>
  <c r="N15" i="1"/>
  <c r="M15" i="1"/>
  <c r="L15" i="1"/>
  <c r="K15" i="1"/>
  <c r="H15" i="1"/>
  <c r="G15" i="1"/>
  <c r="F15" i="1"/>
  <c r="E15" i="1"/>
  <c r="D15" i="1"/>
  <c r="C15" i="1"/>
  <c r="GO15" i="1" s="1"/>
  <c r="FW14" i="1"/>
  <c r="FM14" i="1"/>
  <c r="FL14" i="1"/>
  <c r="FK14" i="1"/>
  <c r="FJ14" i="1"/>
  <c r="FG14" i="1"/>
  <c r="FF14" i="1"/>
  <c r="FE14" i="1"/>
  <c r="FD14" i="1"/>
  <c r="FB14" i="1"/>
  <c r="FA14" i="1"/>
  <c r="EZ14" i="1"/>
  <c r="EY14" i="1"/>
  <c r="EX14" i="1"/>
  <c r="EU14" i="1"/>
  <c r="ET14" i="1"/>
  <c r="ES14" i="1"/>
  <c r="ER14" i="1"/>
  <c r="EN14" i="1"/>
  <c r="EI14" i="1"/>
  <c r="EH14" i="1"/>
  <c r="EG14" i="1"/>
  <c r="ED14" i="1"/>
  <c r="DY14" i="1"/>
  <c r="DX14" i="1"/>
  <c r="DT14" i="1"/>
  <c r="DS14" i="1"/>
  <c r="DR14" i="1"/>
  <c r="DE14" i="1"/>
  <c r="CW14" i="1"/>
  <c r="FN14" i="1" s="1"/>
  <c r="CO14" i="1"/>
  <c r="CG14" i="1"/>
  <c r="BY14" i="1"/>
  <c r="BP14" i="1"/>
  <c r="BO14" i="1"/>
  <c r="BN14" i="1"/>
  <c r="EM14" i="1" s="1"/>
  <c r="BM14" i="1"/>
  <c r="EL14" i="1" s="1"/>
  <c r="BJ14" i="1"/>
  <c r="BI14" i="1"/>
  <c r="BH14" i="1"/>
  <c r="BG14" i="1"/>
  <c r="BE14" i="1"/>
  <c r="AW14" i="1"/>
  <c r="FY14" i="1" s="1"/>
  <c r="AO14" i="1"/>
  <c r="AG14" i="1"/>
  <c r="T14" i="1"/>
  <c r="P14" i="1"/>
  <c r="O14" i="1"/>
  <c r="N14" i="1"/>
  <c r="M14" i="1"/>
  <c r="L14" i="1"/>
  <c r="K14" i="1"/>
  <c r="H14" i="1"/>
  <c r="G14" i="1"/>
  <c r="F14" i="1"/>
  <c r="E14" i="1"/>
  <c r="D14" i="1"/>
  <c r="C14" i="1"/>
  <c r="GO14" i="1" s="1"/>
  <c r="GN13" i="1"/>
  <c r="GI13" i="1"/>
  <c r="GF13" i="1"/>
  <c r="FX13" i="1"/>
  <c r="FT13" i="1"/>
  <c r="FM13" i="1"/>
  <c r="FJ13" i="1"/>
  <c r="FH13" i="1"/>
  <c r="FG13" i="1"/>
  <c r="FF13" i="1"/>
  <c r="FE13" i="1"/>
  <c r="FD13" i="1"/>
  <c r="FA13" i="1"/>
  <c r="EZ13" i="1"/>
  <c r="EY13" i="1"/>
  <c r="EX13" i="1"/>
  <c r="EV13" i="1"/>
  <c r="EU13" i="1"/>
  <c r="ET13" i="1"/>
  <c r="ER13" i="1"/>
  <c r="EL13" i="1"/>
  <c r="EH13" i="1"/>
  <c r="EG13" i="1"/>
  <c r="EF13" i="1"/>
  <c r="DY13" i="1"/>
  <c r="DX13" i="1"/>
  <c r="DV13" i="1"/>
  <c r="DS13" i="1"/>
  <c r="DN13" i="1"/>
  <c r="DM13" i="1"/>
  <c r="DL13" i="1"/>
  <c r="DE13" i="1"/>
  <c r="CW13" i="1"/>
  <c r="CO13" i="1"/>
  <c r="CG13" i="1"/>
  <c r="BJ13" i="1"/>
  <c r="BE13" i="1"/>
  <c r="AU13" i="1"/>
  <c r="FL13" i="1" s="1"/>
  <c r="AS13" i="1"/>
  <c r="M13" i="1" s="1"/>
  <c r="AO13" i="1"/>
  <c r="AG13" i="1"/>
  <c r="Y13" i="1"/>
  <c r="T13" i="1"/>
  <c r="ES13" i="1" s="1"/>
  <c r="P13" i="1"/>
  <c r="O13" i="1"/>
  <c r="EN13" i="1" s="1"/>
  <c r="N13" i="1"/>
  <c r="K13" i="1"/>
  <c r="H13" i="1"/>
  <c r="G13" i="1"/>
  <c r="F13" i="1"/>
  <c r="C13" i="1"/>
  <c r="GH12" i="1"/>
  <c r="GF12" i="1"/>
  <c r="GC12" i="1"/>
  <c r="FQ12" i="1"/>
  <c r="FT12" i="1" s="1"/>
  <c r="FM12" i="1"/>
  <c r="FL12" i="1"/>
  <c r="FK12" i="1"/>
  <c r="FG12" i="1"/>
  <c r="FA12" i="1"/>
  <c r="EY12" i="1"/>
  <c r="EU12" i="1"/>
  <c r="ET12" i="1"/>
  <c r="ES12" i="1"/>
  <c r="ER12" i="1"/>
  <c r="EO12" i="1"/>
  <c r="EI12" i="1"/>
  <c r="EG12" i="1"/>
  <c r="EF12" i="1"/>
  <c r="DO12" i="1"/>
  <c r="DM12" i="1"/>
  <c r="DL12" i="1"/>
  <c r="DE12" i="1"/>
  <c r="CQ12" i="1"/>
  <c r="CW12" i="1" s="1"/>
  <c r="FN12" i="1" s="1"/>
  <c r="CM12" i="1"/>
  <c r="BO12" i="1" s="1"/>
  <c r="CJ12" i="1"/>
  <c r="CI12" i="1"/>
  <c r="CE12" i="1"/>
  <c r="EZ12" i="1" s="1"/>
  <c r="CB12" i="1"/>
  <c r="CA12" i="1"/>
  <c r="BG12" i="1" s="1"/>
  <c r="GN12" i="1" s="1"/>
  <c r="BY12" i="1"/>
  <c r="BP12" i="1"/>
  <c r="BN12" i="1"/>
  <c r="BJ12" i="1"/>
  <c r="BI12" i="1"/>
  <c r="BH12" i="1"/>
  <c r="BE12" i="1"/>
  <c r="AW12" i="1"/>
  <c r="AQ12" i="1"/>
  <c r="EA12" i="1" s="1"/>
  <c r="AM12" i="1"/>
  <c r="AJ12" i="1"/>
  <c r="EH12" i="1" s="1"/>
  <c r="AI12" i="1"/>
  <c r="AO12" i="1" s="1"/>
  <c r="GJ12" i="1" s="1"/>
  <c r="AE12" i="1"/>
  <c r="G12" i="1" s="1"/>
  <c r="AB12" i="1"/>
  <c r="AA12" i="1"/>
  <c r="Y12" i="1"/>
  <c r="FV12" i="1" s="1"/>
  <c r="P12" i="1"/>
  <c r="N12" i="1"/>
  <c r="M12" i="1"/>
  <c r="H12" i="1"/>
  <c r="F12" i="1"/>
  <c r="E12" i="1"/>
  <c r="D12" i="1"/>
  <c r="C12" i="1"/>
  <c r="GO12" i="1" s="1"/>
  <c r="GF11" i="1"/>
  <c r="FX11" i="1"/>
  <c r="FS11" i="1"/>
  <c r="FR11" i="1"/>
  <c r="FQ11" i="1"/>
  <c r="FP11" i="1"/>
  <c r="FM11" i="1"/>
  <c r="FG11" i="1"/>
  <c r="FD11" i="1"/>
  <c r="EZ11" i="1"/>
  <c r="EX11" i="1"/>
  <c r="DY11" i="1"/>
  <c r="DE11" i="1"/>
  <c r="CR11" i="1"/>
  <c r="FK11" i="1" s="1"/>
  <c r="CQ11" i="1"/>
  <c r="CW11" i="1" s="1"/>
  <c r="CO11" i="1"/>
  <c r="FH11" i="1" s="1"/>
  <c r="CN11" i="1"/>
  <c r="CM11" i="1"/>
  <c r="FF11" i="1" s="1"/>
  <c r="CL11" i="1"/>
  <c r="CK11" i="1"/>
  <c r="CJ11" i="1"/>
  <c r="CI11" i="1"/>
  <c r="CF11" i="1"/>
  <c r="FA11" i="1" s="1"/>
  <c r="CE11" i="1"/>
  <c r="CD11" i="1"/>
  <c r="CC11" i="1"/>
  <c r="CB11" i="1"/>
  <c r="EY11" i="1" s="1"/>
  <c r="CA11" i="1"/>
  <c r="BX11" i="1"/>
  <c r="BJ11" i="1" s="1"/>
  <c r="BW11" i="1"/>
  <c r="BO11" i="1" s="1"/>
  <c r="BV11" i="1"/>
  <c r="BU11" i="1"/>
  <c r="BT11" i="1"/>
  <c r="BH11" i="1" s="1"/>
  <c r="BS11" i="1"/>
  <c r="BN11" i="1"/>
  <c r="BG11" i="1"/>
  <c r="GN11" i="1" s="1"/>
  <c r="BE11" i="1"/>
  <c r="AV11" i="1"/>
  <c r="AU11" i="1"/>
  <c r="FL11" i="1" s="1"/>
  <c r="AT11" i="1"/>
  <c r="F11" i="1" s="1"/>
  <c r="AS11" i="1"/>
  <c r="AR11" i="1"/>
  <c r="AQ11" i="1"/>
  <c r="AW11" i="1" s="1"/>
  <c r="AO11" i="1"/>
  <c r="DW11" i="1" s="1"/>
  <c r="AN11" i="1"/>
  <c r="AM11" i="1"/>
  <c r="DX11" i="1" s="1"/>
  <c r="AL11" i="1"/>
  <c r="EH11" i="1" s="1"/>
  <c r="AK11" i="1"/>
  <c r="M11" i="1" s="1"/>
  <c r="AJ11" i="1"/>
  <c r="FE11" i="1" s="1"/>
  <c r="AI11" i="1"/>
  <c r="AF11" i="1"/>
  <c r="AE11" i="1"/>
  <c r="AD11" i="1"/>
  <c r="AC11" i="1"/>
  <c r="AB11" i="1"/>
  <c r="AG11" i="1" s="1"/>
  <c r="AA11" i="1"/>
  <c r="X11" i="1"/>
  <c r="P11" i="1" s="1"/>
  <c r="W11" i="1"/>
  <c r="V11" i="1"/>
  <c r="EF11" i="1" s="1"/>
  <c r="U11" i="1"/>
  <c r="T11" i="1"/>
  <c r="D11" i="1" s="1"/>
  <c r="S11" i="1"/>
  <c r="E11" i="1"/>
  <c r="GN10" i="1"/>
  <c r="GH10" i="1"/>
  <c r="GD10" i="1"/>
  <c r="GJ10" i="1" s="1"/>
  <c r="GC10" i="1"/>
  <c r="FR10" i="1"/>
  <c r="FT10" i="1" s="1"/>
  <c r="FN10" i="1"/>
  <c r="FM10" i="1"/>
  <c r="FL10" i="1"/>
  <c r="FK10" i="1"/>
  <c r="FJ10" i="1"/>
  <c r="FG10" i="1"/>
  <c r="FF10" i="1"/>
  <c r="FE10" i="1"/>
  <c r="FD10" i="1"/>
  <c r="FA10" i="1"/>
  <c r="EZ10" i="1"/>
  <c r="EY10" i="1"/>
  <c r="EU10" i="1"/>
  <c r="ET10" i="1"/>
  <c r="ES10" i="1"/>
  <c r="ER10" i="1"/>
  <c r="EO10" i="1"/>
  <c r="EI10" i="1"/>
  <c r="EH10" i="1"/>
  <c r="EG10" i="1"/>
  <c r="EF10" i="1"/>
  <c r="EC10" i="1"/>
  <c r="EB10" i="1"/>
  <c r="EA10" i="1"/>
  <c r="DV10" i="1"/>
  <c r="DN10" i="1"/>
  <c r="DM10" i="1"/>
  <c r="DE10" i="1"/>
  <c r="CO10" i="1"/>
  <c r="FH10" i="1" s="1"/>
  <c r="CG10" i="1"/>
  <c r="BY10" i="1"/>
  <c r="BP10" i="1"/>
  <c r="BO10" i="1"/>
  <c r="BN10" i="1"/>
  <c r="EM10" i="1" s="1"/>
  <c r="BM10" i="1"/>
  <c r="BJ10" i="1"/>
  <c r="BI10" i="1"/>
  <c r="BH10" i="1"/>
  <c r="BG10" i="1"/>
  <c r="BC10" i="1"/>
  <c r="G10" i="1" s="1"/>
  <c r="AW10" i="1"/>
  <c r="AO10" i="1"/>
  <c r="FX10" i="1" s="1"/>
  <c r="AM10" i="1"/>
  <c r="DY10" i="1" s="1"/>
  <c r="AJ10" i="1"/>
  <c r="L10" i="1" s="1"/>
  <c r="AI10" i="1"/>
  <c r="AB10" i="1"/>
  <c r="AZ10" i="1" s="1"/>
  <c r="D10" i="1" s="1"/>
  <c r="AA10" i="1"/>
  <c r="Y10" i="1"/>
  <c r="DO10" i="1" s="1"/>
  <c r="P10" i="1"/>
  <c r="O10" i="1"/>
  <c r="N10" i="1"/>
  <c r="EJ10" i="1" s="1"/>
  <c r="M10" i="1"/>
  <c r="H10" i="1"/>
  <c r="F10" i="1"/>
  <c r="E10" i="1"/>
  <c r="GJ9" i="1"/>
  <c r="GF9" i="1"/>
  <c r="FT9" i="1"/>
  <c r="FM9" i="1"/>
  <c r="FL9" i="1"/>
  <c r="FK9" i="1"/>
  <c r="FJ9" i="1"/>
  <c r="FG9" i="1"/>
  <c r="FF9" i="1"/>
  <c r="FE9" i="1"/>
  <c r="FD9" i="1"/>
  <c r="FA9" i="1"/>
  <c r="EZ9" i="1"/>
  <c r="EX9" i="1"/>
  <c r="EU9" i="1"/>
  <c r="ET9" i="1"/>
  <c r="ER9" i="1"/>
  <c r="EI9" i="1"/>
  <c r="EH9" i="1"/>
  <c r="EC9" i="1"/>
  <c r="DW9" i="1"/>
  <c r="DE9" i="1"/>
  <c r="CW9" i="1"/>
  <c r="FN9" i="1" s="1"/>
  <c r="CO9" i="1"/>
  <c r="FH9" i="1" s="1"/>
  <c r="CK9" i="1"/>
  <c r="CJ9" i="1"/>
  <c r="CC9" i="1"/>
  <c r="CB9" i="1" s="1"/>
  <c r="EY9" i="1" s="1"/>
  <c r="BY9" i="1"/>
  <c r="BU9" i="1"/>
  <c r="BT9" i="1"/>
  <c r="BN9" i="1" s="1"/>
  <c r="BP9" i="1"/>
  <c r="EO9" i="1" s="1"/>
  <c r="BO9" i="1"/>
  <c r="EN9" i="1" s="1"/>
  <c r="BM9" i="1"/>
  <c r="BJ9" i="1"/>
  <c r="BI9" i="1"/>
  <c r="BG9" i="1"/>
  <c r="BE9" i="1"/>
  <c r="AW9" i="1"/>
  <c r="FY9" i="1" s="1"/>
  <c r="AK9" i="1"/>
  <c r="AJ9" i="1"/>
  <c r="AO9" i="1" s="1"/>
  <c r="DV9" i="1" s="1"/>
  <c r="AG9" i="1"/>
  <c r="DT9" i="1" s="1"/>
  <c r="AC9" i="1"/>
  <c r="AB9" i="1"/>
  <c r="EG9" i="1" s="1"/>
  <c r="U9" i="1"/>
  <c r="P9" i="1"/>
  <c r="O9" i="1"/>
  <c r="N9" i="1"/>
  <c r="M9" i="1"/>
  <c r="K9" i="1"/>
  <c r="H9" i="1"/>
  <c r="G9" i="1"/>
  <c r="F9" i="1"/>
  <c r="C9" i="1"/>
  <c r="GF8" i="1"/>
  <c r="FS8" i="1"/>
  <c r="FR8" i="1"/>
  <c r="FX8" i="1" s="1"/>
  <c r="FQ8" i="1"/>
  <c r="FM8" i="1"/>
  <c r="FK8" i="1"/>
  <c r="FG8" i="1"/>
  <c r="FF8" i="1"/>
  <c r="FE8" i="1"/>
  <c r="FD8" i="1"/>
  <c r="FA8" i="1"/>
  <c r="EU8" i="1"/>
  <c r="ET8" i="1"/>
  <c r="ES8" i="1"/>
  <c r="EI8" i="1"/>
  <c r="EH8" i="1"/>
  <c r="EF8" i="1"/>
  <c r="EC8" i="1"/>
  <c r="EB8" i="1"/>
  <c r="DX8" i="1"/>
  <c r="DE8" i="1"/>
  <c r="CU8" i="1"/>
  <c r="FL8" i="1" s="1"/>
  <c r="CQ8" i="1"/>
  <c r="FJ8" i="1" s="1"/>
  <c r="CO8" i="1"/>
  <c r="CK8" i="1"/>
  <c r="CE8" i="1"/>
  <c r="EZ8" i="1" s="1"/>
  <c r="CD8" i="1"/>
  <c r="CB8" i="1"/>
  <c r="CC8" i="1" s="1"/>
  <c r="CA8" i="1"/>
  <c r="CG8" i="1" s="1"/>
  <c r="BY8" i="1"/>
  <c r="BV8" i="1"/>
  <c r="BU8" i="1"/>
  <c r="BP8" i="1"/>
  <c r="EO8" i="1" s="1"/>
  <c r="BM8" i="1"/>
  <c r="EL8" i="1" s="1"/>
  <c r="BJ8" i="1"/>
  <c r="BH8" i="1"/>
  <c r="BG8" i="1"/>
  <c r="GN8" i="1" s="1"/>
  <c r="BE8" i="1"/>
  <c r="AW8" i="1"/>
  <c r="ED8" i="1" s="1"/>
  <c r="AO8" i="1"/>
  <c r="DW8" i="1" s="1"/>
  <c r="AK8" i="1"/>
  <c r="AE8" i="1"/>
  <c r="AC8" i="1"/>
  <c r="AB8" i="1"/>
  <c r="EG8" i="1" s="1"/>
  <c r="AA8" i="1"/>
  <c r="AG8" i="1" s="1"/>
  <c r="U8" i="1"/>
  <c r="M8" i="1" s="1"/>
  <c r="S8" i="1"/>
  <c r="Y8" i="1" s="1"/>
  <c r="P8" i="1"/>
  <c r="O8" i="1"/>
  <c r="N8" i="1"/>
  <c r="K8" i="1"/>
  <c r="H8" i="1"/>
  <c r="G8" i="1"/>
  <c r="F8" i="1"/>
  <c r="E8" i="1"/>
  <c r="GJ7" i="1"/>
  <c r="GF7" i="1"/>
  <c r="FV7" i="1"/>
  <c r="FT7" i="1"/>
  <c r="FM7" i="1"/>
  <c r="FL7" i="1"/>
  <c r="FG7" i="1"/>
  <c r="FF7" i="1"/>
  <c r="FE7" i="1"/>
  <c r="FD7" i="1"/>
  <c r="FA7" i="1"/>
  <c r="EZ7" i="1"/>
  <c r="EY7" i="1"/>
  <c r="EX7" i="1"/>
  <c r="EV7" i="1"/>
  <c r="EU7" i="1"/>
  <c r="ET7" i="1"/>
  <c r="ES7" i="1"/>
  <c r="ER7" i="1"/>
  <c r="EH7" i="1"/>
  <c r="EG7" i="1"/>
  <c r="EF7" i="1"/>
  <c r="DY7" i="1"/>
  <c r="DX7" i="1"/>
  <c r="DS7" i="1"/>
  <c r="DO7" i="1"/>
  <c r="DE7" i="1"/>
  <c r="CU7" i="1"/>
  <c r="CR7" i="1"/>
  <c r="CQ7" i="1"/>
  <c r="CW7" i="1" s="1"/>
  <c r="CO7" i="1"/>
  <c r="CG7" i="1"/>
  <c r="BY7" i="1"/>
  <c r="BP7" i="1"/>
  <c r="EO7" i="1" s="1"/>
  <c r="BO7" i="1"/>
  <c r="BN7" i="1"/>
  <c r="BM7" i="1"/>
  <c r="EL7" i="1" s="1"/>
  <c r="BJ7" i="1"/>
  <c r="BI7" i="1"/>
  <c r="BH7" i="1"/>
  <c r="BE7" i="1"/>
  <c r="AU7" i="1"/>
  <c r="G7" i="1" s="1"/>
  <c r="AR7" i="1"/>
  <c r="AW7" i="1" s="1"/>
  <c r="AQ7" i="1"/>
  <c r="AO7" i="1"/>
  <c r="FX7" i="1" s="1"/>
  <c r="AG7" i="1"/>
  <c r="DT7" i="1" s="1"/>
  <c r="Y7" i="1"/>
  <c r="GH7" i="1" s="1"/>
  <c r="P7" i="1"/>
  <c r="O7" i="1"/>
  <c r="EN7" i="1" s="1"/>
  <c r="N7" i="1"/>
  <c r="M7" i="1"/>
  <c r="K7" i="1"/>
  <c r="H7" i="1"/>
  <c r="F7" i="1"/>
  <c r="E7" i="1"/>
  <c r="C7" i="1"/>
  <c r="ES17" i="1" l="1"/>
  <c r="AB17" i="1"/>
  <c r="D17" i="1" s="1"/>
  <c r="EB18" i="1"/>
  <c r="K18" i="1"/>
  <c r="EL18" i="1" s="1"/>
  <c r="BI17" i="1"/>
  <c r="BM17" i="1"/>
  <c r="ER17" i="1"/>
  <c r="BH17" i="1"/>
  <c r="EA18" i="1"/>
  <c r="FJ18" i="1"/>
  <c r="DG7" i="1"/>
  <c r="DT11" i="1"/>
  <c r="ED11" i="1"/>
  <c r="EB11" i="1"/>
  <c r="EA11" i="1"/>
  <c r="GK11" i="1"/>
  <c r="ED7" i="1"/>
  <c r="EC7" i="1"/>
  <c r="EA7" i="1"/>
  <c r="FY7" i="1"/>
  <c r="GK7" i="1"/>
  <c r="DS8" i="1"/>
  <c r="EJ7" i="1"/>
  <c r="GL7" i="1"/>
  <c r="DM8" i="1"/>
  <c r="FV8" i="1"/>
  <c r="DO8" i="1"/>
  <c r="DL8" i="1"/>
  <c r="DN8" i="1"/>
  <c r="GH8" i="1"/>
  <c r="I8" i="1"/>
  <c r="Q8" i="1"/>
  <c r="DI8" i="1" s="1"/>
  <c r="GN9" i="1"/>
  <c r="GI11" i="1"/>
  <c r="DQ11" i="1"/>
  <c r="FW11" i="1"/>
  <c r="FN11" i="1"/>
  <c r="BQ7" i="1"/>
  <c r="EP7" i="1" s="1"/>
  <c r="EV8" i="1"/>
  <c r="BK7" i="1"/>
  <c r="FN7" i="1"/>
  <c r="GI8" i="1"/>
  <c r="FW8" i="1"/>
  <c r="DQ8" i="1"/>
  <c r="DT8" i="1"/>
  <c r="FB8" i="1"/>
  <c r="DG8" i="1"/>
  <c r="DL7" i="1"/>
  <c r="DV7" i="1"/>
  <c r="FH7" i="1"/>
  <c r="FW7" i="1"/>
  <c r="CG9" i="1"/>
  <c r="FB9" i="1" s="1"/>
  <c r="EN10" i="1"/>
  <c r="DW10" i="1"/>
  <c r="H11" i="1"/>
  <c r="Q7" i="1"/>
  <c r="DM7" i="1"/>
  <c r="DW7" i="1"/>
  <c r="FJ7" i="1"/>
  <c r="ER8" i="1"/>
  <c r="DY9" i="1"/>
  <c r="DL10" i="1"/>
  <c r="DX10" i="1"/>
  <c r="FV10" i="1"/>
  <c r="DS11" i="1"/>
  <c r="BP11" i="1"/>
  <c r="EO11" i="1" s="1"/>
  <c r="DR11" i="1"/>
  <c r="ES11" i="1"/>
  <c r="DX12" i="1"/>
  <c r="CG12" i="1"/>
  <c r="DV12" i="1"/>
  <c r="FF12" i="1"/>
  <c r="GJ13" i="1"/>
  <c r="DW13" i="1"/>
  <c r="DR13" i="1"/>
  <c r="EJ14" i="1"/>
  <c r="EB14" i="1"/>
  <c r="DH15" i="1"/>
  <c r="DQ15" i="1"/>
  <c r="GI15" i="1"/>
  <c r="DS16" i="1"/>
  <c r="DT16" i="1"/>
  <c r="I16" i="1"/>
  <c r="FW16" i="1"/>
  <c r="Q16" i="1"/>
  <c r="DI16" i="1" s="1"/>
  <c r="GI16" i="1"/>
  <c r="EG17" i="1"/>
  <c r="L17" i="1"/>
  <c r="EJ17" i="1" s="1"/>
  <c r="EF19" i="1"/>
  <c r="L19" i="1"/>
  <c r="EJ19" i="1" s="1"/>
  <c r="Y19" i="1"/>
  <c r="I7" i="1"/>
  <c r="BG7" i="1"/>
  <c r="GN7" i="1" s="1"/>
  <c r="DN7" i="1"/>
  <c r="FK7" i="1"/>
  <c r="DV8" i="1"/>
  <c r="FT8" i="1"/>
  <c r="FZ8" i="1" s="1"/>
  <c r="GK9" i="1"/>
  <c r="EA9" i="1"/>
  <c r="EB9" i="1"/>
  <c r="BQ10" i="1"/>
  <c r="EV10" i="1"/>
  <c r="K11" i="1"/>
  <c r="BM11" i="1"/>
  <c r="EL11" i="1" s="1"/>
  <c r="ER11" i="1"/>
  <c r="EG11" i="1"/>
  <c r="ET11" i="1"/>
  <c r="GJ11" i="1"/>
  <c r="FD12" i="1"/>
  <c r="DW12" i="1"/>
  <c r="AR13" i="1"/>
  <c r="E13" i="1"/>
  <c r="BQ14" i="1"/>
  <c r="DR15" i="1"/>
  <c r="EL16" i="1"/>
  <c r="BX17" i="1"/>
  <c r="EM18" i="1"/>
  <c r="DG18" i="1"/>
  <c r="EI7" i="1"/>
  <c r="FB7" i="1"/>
  <c r="GJ8" i="1"/>
  <c r="E9" i="1"/>
  <c r="T9" i="1"/>
  <c r="G11" i="1"/>
  <c r="DV11" i="1"/>
  <c r="EI11" i="1"/>
  <c r="EU11" i="1"/>
  <c r="FY11" i="1"/>
  <c r="GK12" i="1"/>
  <c r="EC12" i="1"/>
  <c r="DY12" i="1"/>
  <c r="EX12" i="1"/>
  <c r="FX12" i="1"/>
  <c r="BK14" i="1"/>
  <c r="DT15" i="1"/>
  <c r="DJ18" i="1"/>
  <c r="L7" i="1"/>
  <c r="DQ7" i="1"/>
  <c r="C8" i="1"/>
  <c r="BH9" i="1"/>
  <c r="DR9" i="1"/>
  <c r="N11" i="1"/>
  <c r="BI11" i="1"/>
  <c r="FJ11" i="1"/>
  <c r="K12" i="1"/>
  <c r="AG12" i="1"/>
  <c r="FJ12" i="1"/>
  <c r="FY12" i="1"/>
  <c r="DI15" i="1"/>
  <c r="EN15" i="1"/>
  <c r="DX15" i="1"/>
  <c r="DV15" i="1"/>
  <c r="DW15" i="1"/>
  <c r="GK17" i="1"/>
  <c r="EA17" i="1"/>
  <c r="EB17" i="1"/>
  <c r="BG17" i="1"/>
  <c r="EJ18" i="1"/>
  <c r="L8" i="1"/>
  <c r="DH8" i="1" s="1"/>
  <c r="BN8" i="1"/>
  <c r="EM8" i="1" s="1"/>
  <c r="DY8" i="1"/>
  <c r="FY8" i="1"/>
  <c r="GK8" i="1"/>
  <c r="ED9" i="1"/>
  <c r="D7" i="1"/>
  <c r="GO7" i="1" s="1"/>
  <c r="DR7" i="1"/>
  <c r="EB7" i="1"/>
  <c r="D8" i="1"/>
  <c r="BO8" i="1"/>
  <c r="EN8" i="1" s="1"/>
  <c r="CW8" i="1"/>
  <c r="FN8" i="1" s="1"/>
  <c r="EA8" i="1"/>
  <c r="DS9" i="1"/>
  <c r="ES9" i="1"/>
  <c r="GI9" i="1"/>
  <c r="ED10" i="1"/>
  <c r="GK10" i="1"/>
  <c r="FY10" i="1"/>
  <c r="BK10" i="1"/>
  <c r="GF10" i="1"/>
  <c r="O11" i="1"/>
  <c r="L12" i="1"/>
  <c r="BK12" i="1"/>
  <c r="EV12" i="1"/>
  <c r="CO12" i="1"/>
  <c r="FH12" i="1" s="1"/>
  <c r="EB12" i="1"/>
  <c r="EF14" i="1"/>
  <c r="Y14" i="1"/>
  <c r="EV14" i="1"/>
  <c r="DY15" i="1"/>
  <c r="FN17" i="1"/>
  <c r="EC17" i="1"/>
  <c r="EZ17" i="1"/>
  <c r="GI7" i="1"/>
  <c r="EX8" i="1"/>
  <c r="FH8" i="1"/>
  <c r="BQ9" i="1"/>
  <c r="EX10" i="1"/>
  <c r="C10" i="1"/>
  <c r="GO10" i="1" s="1"/>
  <c r="AY10" i="1"/>
  <c r="BE10" i="1" s="1"/>
  <c r="DS12" i="1"/>
  <c r="ED12" i="1"/>
  <c r="FZ15" i="1"/>
  <c r="GL15" i="1"/>
  <c r="DG15" i="1"/>
  <c r="FB15" i="1"/>
  <c r="FW15" i="1"/>
  <c r="EV16" i="1"/>
  <c r="BQ16" i="1"/>
  <c r="BQ18" i="1"/>
  <c r="EP18" i="1" s="1"/>
  <c r="FB18" i="1"/>
  <c r="BK18" i="1"/>
  <c r="EM19" i="1"/>
  <c r="DR8" i="1"/>
  <c r="EY8" i="1"/>
  <c r="FW9" i="1"/>
  <c r="DQ9" i="1"/>
  <c r="BK9" i="1"/>
  <c r="K10" i="1"/>
  <c r="C11" i="1"/>
  <c r="GO11" i="1" s="1"/>
  <c r="Y11" i="1"/>
  <c r="DL11" i="1" s="1"/>
  <c r="EC11" i="1"/>
  <c r="EM11" i="1"/>
  <c r="CG11" i="1"/>
  <c r="FB11" i="1" s="1"/>
  <c r="DO11" i="1"/>
  <c r="FX14" i="1"/>
  <c r="DV14" i="1"/>
  <c r="DW14" i="1"/>
  <c r="GJ14" i="1"/>
  <c r="DJ15" i="1"/>
  <c r="FX15" i="1"/>
  <c r="O17" i="1"/>
  <c r="EN17" i="1" s="1"/>
  <c r="Y17" i="1"/>
  <c r="DN17" i="1" s="1"/>
  <c r="G17" i="1"/>
  <c r="FY17" i="1"/>
  <c r="DH20" i="1"/>
  <c r="BI8" i="1"/>
  <c r="DX9" i="1"/>
  <c r="EL9" i="1"/>
  <c r="FX9" i="1"/>
  <c r="AG10" i="1"/>
  <c r="L11" i="1"/>
  <c r="BY11" i="1"/>
  <c r="FT11" i="1"/>
  <c r="O12" i="1"/>
  <c r="BM12" i="1"/>
  <c r="FE12" i="1"/>
  <c r="DT13" i="1"/>
  <c r="DQ13" i="1"/>
  <c r="FW13" i="1"/>
  <c r="FB13" i="1"/>
  <c r="BQ13" i="1"/>
  <c r="BK13" i="1"/>
  <c r="EA14" i="1"/>
  <c r="EC14" i="1"/>
  <c r="GK14" i="1"/>
  <c r="DN15" i="1"/>
  <c r="I15" i="1"/>
  <c r="FV15" i="1"/>
  <c r="DM15" i="1"/>
  <c r="GH15" i="1"/>
  <c r="DO15" i="1"/>
  <c r="EV15" i="1"/>
  <c r="DL15" i="1"/>
  <c r="DO13" i="1"/>
  <c r="FV13" i="1"/>
  <c r="GI14" i="1"/>
  <c r="DQ14" i="1"/>
  <c r="FH14" i="1"/>
  <c r="GK15" i="1"/>
  <c r="EC15" i="1"/>
  <c r="CO15" i="1"/>
  <c r="FH15" i="1" s="1"/>
  <c r="EB15" i="1"/>
  <c r="AA17" i="1"/>
  <c r="K17" i="1" s="1"/>
  <c r="DY17" i="1"/>
  <c r="FX17" i="1"/>
  <c r="DV17" i="1"/>
  <c r="ET17" i="1"/>
  <c r="DL20" i="1"/>
  <c r="FV20" i="1"/>
  <c r="Q20" i="1"/>
  <c r="DG20" i="1" s="1"/>
  <c r="GH20" i="1"/>
  <c r="DM20" i="1"/>
  <c r="DJ21" i="1"/>
  <c r="EL20" i="1"/>
  <c r="EN18" i="1"/>
  <c r="FX19" i="1"/>
  <c r="DV19" i="1"/>
  <c r="DW19" i="1"/>
  <c r="FX20" i="1"/>
  <c r="FH20" i="1"/>
  <c r="DV20" i="1"/>
  <c r="GJ20" i="1"/>
  <c r="DW20" i="1"/>
  <c r="FZ24" i="1"/>
  <c r="DN12" i="1"/>
  <c r="GI12" i="1"/>
  <c r="GH13" i="1"/>
  <c r="GN14" i="1"/>
  <c r="EO14" i="1"/>
  <c r="FN15" i="1"/>
  <c r="DN16" i="1"/>
  <c r="FV16" i="1"/>
  <c r="DO16" i="1"/>
  <c r="EA16" i="1"/>
  <c r="FV18" i="1"/>
  <c r="EV18" i="1"/>
  <c r="DO18" i="1"/>
  <c r="Q18" i="1"/>
  <c r="DI18" i="1" s="1"/>
  <c r="DN18" i="1"/>
  <c r="DL18" i="1"/>
  <c r="GK19" i="1"/>
  <c r="ED19" i="1"/>
  <c r="EA19" i="1"/>
  <c r="N20" i="1"/>
  <c r="EJ20" i="1" s="1"/>
  <c r="EC20" i="1"/>
  <c r="EB20" i="1"/>
  <c r="EA20" i="1"/>
  <c r="FY20" i="1"/>
  <c r="DN20" i="1"/>
  <c r="DI23" i="1"/>
  <c r="DI20" i="1"/>
  <c r="EV20" i="1"/>
  <c r="BQ20" i="1"/>
  <c r="EP20" i="1" s="1"/>
  <c r="BK20" i="1"/>
  <c r="DJ22" i="1"/>
  <c r="AF17" i="1"/>
  <c r="FA17" i="1" s="1"/>
  <c r="BN17" i="1"/>
  <c r="EY17" i="1"/>
  <c r="GJ18" i="1"/>
  <c r="DY18" i="1"/>
  <c r="DX18" i="1"/>
  <c r="ES19" i="1"/>
  <c r="BY19" i="1"/>
  <c r="GJ19" i="1"/>
  <c r="EN20" i="1"/>
  <c r="GL23" i="1"/>
  <c r="D18" i="1"/>
  <c r="GO18" i="1" s="1"/>
  <c r="DT18" i="1"/>
  <c r="ED18" i="1"/>
  <c r="FW18" i="1"/>
  <c r="I21" i="1"/>
  <c r="DV21" i="1"/>
  <c r="FX21" i="1"/>
  <c r="I22" i="1"/>
  <c r="DV22" i="1"/>
  <c r="FW22" i="1"/>
  <c r="GK22" i="1"/>
  <c r="BQ23" i="1"/>
  <c r="DS23" i="1"/>
  <c r="EC23" i="1"/>
  <c r="EV23" i="1"/>
  <c r="GI23" i="1"/>
  <c r="DQ24" i="1"/>
  <c r="EA24" i="1"/>
  <c r="BK21" i="1"/>
  <c r="DW21" i="1"/>
  <c r="BK22" i="1"/>
  <c r="DW22" i="1"/>
  <c r="FX22" i="1"/>
  <c r="Q23" i="1"/>
  <c r="ED23" i="1"/>
  <c r="FV23" i="1"/>
  <c r="DH24" i="1"/>
  <c r="DR24" i="1"/>
  <c r="FN24" i="1"/>
  <c r="DX21" i="1"/>
  <c r="DX22" i="1"/>
  <c r="DL23" i="1"/>
  <c r="GK23" i="1"/>
  <c r="BQ24" i="1"/>
  <c r="DI24" i="1"/>
  <c r="DS24" i="1"/>
  <c r="GI24" i="1"/>
  <c r="FK18" i="1"/>
  <c r="DY21" i="1"/>
  <c r="FB21" i="1"/>
  <c r="DY22" i="1"/>
  <c r="FB22" i="1"/>
  <c r="DM23" i="1"/>
  <c r="Q24" i="1"/>
  <c r="GL24" i="1" s="1"/>
  <c r="DT24" i="1"/>
  <c r="ED24" i="1"/>
  <c r="GJ24" i="1"/>
  <c r="EI18" i="1"/>
  <c r="DR20" i="1"/>
  <c r="DQ21" i="1"/>
  <c r="EA21" i="1"/>
  <c r="GI21" i="1"/>
  <c r="DQ22" i="1"/>
  <c r="EA22" i="1"/>
  <c r="DN23" i="1"/>
  <c r="FY23" i="1"/>
  <c r="I24" i="1"/>
  <c r="DV24" i="1"/>
  <c r="FW24" i="1"/>
  <c r="DH21" i="1"/>
  <c r="DR21" i="1"/>
  <c r="DR22" i="1"/>
  <c r="FN22" i="1"/>
  <c r="DO23" i="1"/>
  <c r="DW24" i="1"/>
  <c r="DI22" i="1"/>
  <c r="GI22" i="1"/>
  <c r="EA23" i="1"/>
  <c r="Q21" i="1"/>
  <c r="EP21" i="1" s="1"/>
  <c r="DT21" i="1"/>
  <c r="Q22" i="1"/>
  <c r="GL22" i="1" s="1"/>
  <c r="EB23" i="1"/>
  <c r="DO17" i="1" l="1"/>
  <c r="EM17" i="1"/>
  <c r="DL17" i="1"/>
  <c r="GN17" i="1"/>
  <c r="BK19" i="1"/>
  <c r="BQ19" i="1"/>
  <c r="EV19" i="1"/>
  <c r="EP24" i="1"/>
  <c r="FZ22" i="1"/>
  <c r="GL20" i="1"/>
  <c r="EL12" i="1"/>
  <c r="DL14" i="1"/>
  <c r="FV14" i="1"/>
  <c r="GH14" i="1"/>
  <c r="DO14" i="1"/>
  <c r="I14" i="1"/>
  <c r="Q14" i="1"/>
  <c r="EP14" i="1" s="1"/>
  <c r="DN14" i="1"/>
  <c r="DM14" i="1"/>
  <c r="GL10" i="1"/>
  <c r="EF9" i="1"/>
  <c r="L9" i="1"/>
  <c r="Y9" i="1"/>
  <c r="DM9" i="1"/>
  <c r="D9" i="1"/>
  <c r="GO9" i="1" s="1"/>
  <c r="BQ15" i="1"/>
  <c r="EP15" i="1" s="1"/>
  <c r="EJ8" i="1"/>
  <c r="DI12" i="1"/>
  <c r="BP17" i="1"/>
  <c r="EU17" i="1"/>
  <c r="BJ17" i="1"/>
  <c r="BY17" i="1"/>
  <c r="BK8" i="1"/>
  <c r="EN11" i="1"/>
  <c r="DH23" i="1"/>
  <c r="DG23" i="1"/>
  <c r="FZ23" i="1"/>
  <c r="DJ23" i="1"/>
  <c r="DG24" i="1"/>
  <c r="DG22" i="1"/>
  <c r="FZ11" i="1"/>
  <c r="EP16" i="1"/>
  <c r="I12" i="1"/>
  <c r="DT12" i="1"/>
  <c r="DR12" i="1"/>
  <c r="DQ12" i="1"/>
  <c r="FW12" i="1"/>
  <c r="Q12" i="1"/>
  <c r="GO8" i="1"/>
  <c r="EI13" i="1"/>
  <c r="FK13" i="1"/>
  <c r="EB13" i="1"/>
  <c r="D13" i="1"/>
  <c r="GO13" i="1" s="1"/>
  <c r="L13" i="1"/>
  <c r="AW13" i="1"/>
  <c r="DG11" i="1"/>
  <c r="BQ8" i="1"/>
  <c r="EP8" i="1" s="1"/>
  <c r="DG12" i="1"/>
  <c r="EV11" i="1"/>
  <c r="BQ11" i="1"/>
  <c r="EP11" i="1" s="1"/>
  <c r="BK11" i="1"/>
  <c r="DM11" i="1"/>
  <c r="Q11" i="1"/>
  <c r="FV11" i="1"/>
  <c r="GH11" i="1"/>
  <c r="I11" i="1"/>
  <c r="GL21" i="1"/>
  <c r="DI21" i="1"/>
  <c r="FZ21" i="1"/>
  <c r="DH22" i="1"/>
  <c r="EP22" i="1"/>
  <c r="FZ18" i="1"/>
  <c r="GL18" i="1"/>
  <c r="DG21" i="1"/>
  <c r="DH11" i="1"/>
  <c r="EM7" i="1"/>
  <c r="DH7" i="1"/>
  <c r="DI7" i="1"/>
  <c r="DJ7" i="1"/>
  <c r="DT10" i="1"/>
  <c r="GI10" i="1"/>
  <c r="DS10" i="1"/>
  <c r="I10" i="1"/>
  <c r="DR10" i="1"/>
  <c r="Q10" i="1"/>
  <c r="DG10" i="1" s="1"/>
  <c r="FW10" i="1"/>
  <c r="FZ16" i="1"/>
  <c r="DH16" i="1"/>
  <c r="GL16" i="1"/>
  <c r="DJ16" i="1"/>
  <c r="FB12" i="1"/>
  <c r="BQ12" i="1"/>
  <c r="EP12" i="1" s="1"/>
  <c r="DQ10" i="1"/>
  <c r="EL10" i="1"/>
  <c r="DN11" i="1"/>
  <c r="EP23" i="1"/>
  <c r="H17" i="1"/>
  <c r="P17" i="1"/>
  <c r="DJ24" i="1"/>
  <c r="FZ20" i="1"/>
  <c r="DJ20" i="1"/>
  <c r="AG17" i="1"/>
  <c r="C17" i="1"/>
  <c r="GO17" i="1" s="1"/>
  <c r="EX17" i="1"/>
  <c r="BK15" i="1"/>
  <c r="GH17" i="1"/>
  <c r="DM17" i="1"/>
  <c r="FV17" i="1"/>
  <c r="EJ12" i="1"/>
  <c r="DH12" i="1"/>
  <c r="EJ11" i="1"/>
  <c r="FB10" i="1"/>
  <c r="DH18" i="1"/>
  <c r="DG16" i="1"/>
  <c r="DO19" i="1"/>
  <c r="DL19" i="1"/>
  <c r="GH19" i="1"/>
  <c r="DN19" i="1"/>
  <c r="Q19" i="1"/>
  <c r="DH19" i="1" s="1"/>
  <c r="DM19" i="1"/>
  <c r="I19" i="1"/>
  <c r="FV19" i="1"/>
  <c r="EM12" i="1"/>
  <c r="GL8" i="1"/>
  <c r="DJ8" i="1"/>
  <c r="FZ7" i="1"/>
  <c r="EL17" i="1"/>
  <c r="EN12" i="1"/>
  <c r="FW17" i="1" l="1"/>
  <c r="GI17" i="1"/>
  <c r="FB17" i="1"/>
  <c r="DS17" i="1"/>
  <c r="DR17" i="1"/>
  <c r="EP19" i="1"/>
  <c r="Q17" i="1"/>
  <c r="DJ17" i="1" s="1"/>
  <c r="GL11" i="1"/>
  <c r="DJ11" i="1"/>
  <c r="ED13" i="1"/>
  <c r="EC13" i="1"/>
  <c r="FN13" i="1"/>
  <c r="EA13" i="1"/>
  <c r="GK13" i="1"/>
  <c r="FY13" i="1"/>
  <c r="Q13" i="1"/>
  <c r="I13" i="1"/>
  <c r="DH10" i="1"/>
  <c r="FZ10" i="1"/>
  <c r="DJ10" i="1"/>
  <c r="DI10" i="1"/>
  <c r="EP10" i="1"/>
  <c r="EM13" i="1"/>
  <c r="DH13" i="1"/>
  <c r="EJ13" i="1"/>
  <c r="BK17" i="1"/>
  <c r="EV17" i="1"/>
  <c r="BQ17" i="1"/>
  <c r="DI14" i="1"/>
  <c r="FZ14" i="1"/>
  <c r="GL14" i="1"/>
  <c r="DJ14" i="1"/>
  <c r="DH14" i="1"/>
  <c r="DG14" i="1"/>
  <c r="DJ19" i="1"/>
  <c r="FZ19" i="1"/>
  <c r="DI19" i="1"/>
  <c r="DG19" i="1"/>
  <c r="GL19" i="1"/>
  <c r="DL9" i="1"/>
  <c r="I9" i="1"/>
  <c r="FV9" i="1"/>
  <c r="GH9" i="1"/>
  <c r="DO9" i="1"/>
  <c r="DN9" i="1"/>
  <c r="Q9" i="1"/>
  <c r="EV9" i="1"/>
  <c r="DI11" i="1"/>
  <c r="EO17" i="1"/>
  <c r="EM9" i="1"/>
  <c r="EJ9" i="1"/>
  <c r="DT17" i="1"/>
  <c r="I17" i="1"/>
  <c r="DQ17" i="1"/>
  <c r="DJ12" i="1"/>
  <c r="GL12" i="1"/>
  <c r="FZ12" i="1"/>
  <c r="EP17" i="1" l="1"/>
  <c r="DG13" i="1"/>
  <c r="DJ13" i="1"/>
  <c r="BP13" i="1" s="1"/>
  <c r="EO13" i="1" s="1"/>
  <c r="GL13" i="1"/>
  <c r="FZ13" i="1"/>
  <c r="DI13" i="1"/>
  <c r="EP13" i="1"/>
  <c r="GL9" i="1"/>
  <c r="DI9" i="1"/>
  <c r="DJ9" i="1"/>
  <c r="FZ9" i="1"/>
  <c r="DG9" i="1"/>
  <c r="EP9" i="1"/>
  <c r="FZ17" i="1"/>
  <c r="GL17" i="1"/>
  <c r="DG17" i="1"/>
  <c r="DI17" i="1"/>
  <c r="DH17" i="1"/>
  <c r="DH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marlistruwig</author>
    <author>jharris</author>
    <author>rtedder</author>
  </authors>
  <commentList>
    <comment ref="AQ7" authorId="0" shapeId="0" xr:uid="{343EB6A6-47F0-4A9E-88E4-EBC3ABAE189F}">
      <text>
        <r>
          <rPr>
            <b/>
            <sz val="9"/>
            <color indexed="81"/>
            <rFont val="Tahoma"/>
            <family val="2"/>
          </rPr>
          <t>marlistruwig:</t>
        </r>
        <r>
          <rPr>
            <sz val="9"/>
            <color indexed="81"/>
            <rFont val="Tahoma"/>
            <family val="2"/>
          </rPr>
          <t xml:space="preserve">
Following 2H19 completed logic which includes L+A to banks; other fin assets measured at AMORT + Financial guarantees, but also added L+A to non-bank FI. Looks like Loan and other credit-related commitments and debt instruments at FVOCI not included in 2H19, therefor excluded</t>
        </r>
      </text>
    </comment>
    <comment ref="CQ7" authorId="0" shapeId="0" xr:uid="{7B044D29-7C08-45FB-B1DA-15FB989EECB7}">
      <text>
        <r>
          <rPr>
            <b/>
            <sz val="9"/>
            <color indexed="81"/>
            <rFont val="Tahoma"/>
            <family val="2"/>
          </rPr>
          <t>marlistruwig:</t>
        </r>
        <r>
          <rPr>
            <sz val="9"/>
            <color indexed="81"/>
            <rFont val="Tahoma"/>
            <family val="2"/>
          </rPr>
          <t xml:space="preserve">
Following 2H19 completed logic which includes L+A to banks; other fin assets measured at AMORT + Financial guarantees, but also added L+A to non-bank FI. Looks like Loan and other credit-related commitments and debt instruments at FVOCI not included in 2H19, therefor excluded</t>
        </r>
      </text>
    </comment>
    <comment ref="A9" authorId="0" shapeId="0" xr:uid="{C0D2593A-61EB-4C41-BEA7-693AE91D5B60}">
      <text>
        <r>
          <rPr>
            <b/>
            <sz val="9"/>
            <color indexed="81"/>
            <rFont val="Tahoma"/>
            <family val="2"/>
          </rPr>
          <t>marlistruwig:</t>
        </r>
        <r>
          <rPr>
            <sz val="9"/>
            <color indexed="81"/>
            <rFont val="Tahoma"/>
            <family val="2"/>
          </rPr>
          <t xml:space="preserve">
double check numbers.. BBUK and not BB!</t>
        </r>
      </text>
    </comment>
    <comment ref="AA10" authorId="1" shapeId="0" xr:uid="{2179F23C-8A28-4F51-BB9F-82F2A28B82B4}">
      <text>
        <r>
          <rPr>
            <b/>
            <sz val="9"/>
            <color indexed="81"/>
            <rFont val="Tahoma"/>
            <family val="2"/>
          </rPr>
          <t>jharris: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10" authorId="1" shapeId="0" xr:uid="{6FB712E7-46BA-48E7-BDE0-226E7C235DA8}">
      <text>
        <r>
          <rPr>
            <b/>
            <sz val="9"/>
            <color indexed="81"/>
            <rFont val="Tahoma"/>
            <family val="2"/>
          </rPr>
          <t>jharris:</t>
        </r>
        <r>
          <rPr>
            <sz val="9"/>
            <color indexed="81"/>
            <rFont val="Tahoma"/>
            <family val="2"/>
          </rPr>
          <t xml:space="preserve">
Consumer (auto) finance and other unsecured lending</t>
        </r>
      </text>
    </comment>
    <comment ref="AO10" authorId="1" shapeId="0" xr:uid="{FBDDB109-C68A-42B0-9315-6D93E03C5F15}">
      <text>
        <r>
          <rPr>
            <b/>
            <sz val="9"/>
            <color indexed="81"/>
            <rFont val="Tahoma"/>
            <family val="2"/>
          </rPr>
          <t>jharris:</t>
        </r>
        <r>
          <rPr>
            <sz val="9"/>
            <color indexed="81"/>
            <rFont val="Tahoma"/>
            <family val="2"/>
          </rPr>
          <t xml:space="preserve">
Retail Business Banking and Customer Loans and "Corporate and Investment Banking" and "Corporate Centre"</t>
        </r>
      </text>
    </comment>
    <comment ref="AW10" authorId="1" shapeId="0" xr:uid="{C76547EB-1865-42CF-A5AF-77462CFBE447}">
      <text>
        <r>
          <rPr>
            <b/>
            <sz val="9"/>
            <color indexed="81"/>
            <rFont val="Tahoma"/>
            <family val="2"/>
          </rPr>
          <t>jharris: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P10" authorId="1" shapeId="0" xr:uid="{7113E917-6D63-40B7-B319-399E2B6C5466}">
      <text>
        <r>
          <rPr>
            <b/>
            <sz val="9"/>
            <color indexed="81"/>
            <rFont val="Tahoma"/>
            <family val="2"/>
          </rPr>
          <t>jharris:</t>
        </r>
        <r>
          <rPr>
            <sz val="9"/>
            <color indexed="81"/>
            <rFont val="Tahoma"/>
            <family val="2"/>
          </rPr>
          <t xml:space="preserve">
Assuming full Retail amount is mortgages</t>
        </r>
      </text>
    </comment>
    <comment ref="FR10" authorId="1" shapeId="0" xr:uid="{6B2455A2-4BED-4DE4-A33E-3EA7133FA2AA}">
      <text>
        <r>
          <rPr>
            <b/>
            <sz val="9"/>
            <color indexed="81"/>
            <rFont val="Tahoma"/>
            <family val="2"/>
          </rPr>
          <t>jharris:</t>
        </r>
        <r>
          <rPr>
            <sz val="9"/>
            <color indexed="81"/>
            <rFont val="Tahoma"/>
            <family val="2"/>
          </rPr>
          <t xml:space="preserve">
"Corporate &amp; Commercial Banking", "Corporate &amp; Investment banking" and "corporate centre"</t>
        </r>
      </text>
    </comment>
    <comment ref="A11" authorId="2" shapeId="0" xr:uid="{45D95A51-479E-4A70-85B5-04D60AF41C08}">
      <text>
        <r>
          <rPr>
            <b/>
            <sz val="9"/>
            <color indexed="81"/>
            <rFont val="Tahoma"/>
            <family val="2"/>
          </rPr>
          <t>rtedder:</t>
        </r>
        <r>
          <rPr>
            <sz val="9"/>
            <color indexed="81"/>
            <rFont val="Tahoma"/>
            <family val="2"/>
          </rPr>
          <t xml:space="preserve">
April 2019 year end
JH: all numbers confirmed as correct</t>
        </r>
      </text>
    </comment>
    <comment ref="AI12" authorId="0" shapeId="0" xr:uid="{038E2E98-BF7C-44D8-8DD1-BC75F0BCFF28}">
      <text>
        <r>
          <rPr>
            <b/>
            <sz val="9"/>
            <color indexed="81"/>
            <rFont val="Tahoma"/>
            <family val="2"/>
          </rPr>
          <t>marlistruwig:</t>
        </r>
        <r>
          <rPr>
            <sz val="9"/>
            <color indexed="81"/>
            <rFont val="Tahoma"/>
            <family val="2"/>
          </rPr>
          <t xml:space="preserve">
total wholesale - sovereign and FI</t>
        </r>
      </text>
    </comment>
    <comment ref="BK13" authorId="0" shapeId="0" xr:uid="{FA7C2C73-AB11-45B8-B9AB-B494F5CE8315}">
      <text>
        <r>
          <rPr>
            <b/>
            <sz val="9"/>
            <color indexed="81"/>
            <rFont val="Tahoma"/>
            <family val="2"/>
          </rPr>
          <t>marlistruwig:</t>
        </r>
        <r>
          <rPr>
            <sz val="9"/>
            <color indexed="81"/>
            <rFont val="Tahoma"/>
            <family val="2"/>
          </rPr>
          <t xml:space="preserve">
stage breakdown not provided per portfolio in interim report</t>
        </r>
      </text>
    </comment>
    <comment ref="CW13" authorId="0" shapeId="0" xr:uid="{D2FDD14A-E423-4F9A-9830-AD2160F91BE9}">
      <text>
        <r>
          <rPr>
            <b/>
            <sz val="9"/>
            <color indexed="81"/>
            <rFont val="Tahoma"/>
            <family val="2"/>
          </rPr>
          <t>marlistruwig:</t>
        </r>
        <r>
          <rPr>
            <sz val="9"/>
            <color indexed="81"/>
            <rFont val="Tahoma"/>
            <family val="2"/>
          </rPr>
          <t xml:space="preserve">
breakdown not provided</t>
        </r>
      </text>
    </comment>
    <comment ref="GF13" authorId="0" shapeId="0" xr:uid="{F223E589-45BF-4503-BB14-5CD865BF99BA}">
      <text>
        <r>
          <rPr>
            <b/>
            <sz val="9"/>
            <color indexed="81"/>
            <rFont val="Tahoma"/>
            <family val="2"/>
          </rPr>
          <t>marlistruwig:</t>
        </r>
        <r>
          <rPr>
            <sz val="9"/>
            <color indexed="81"/>
            <rFont val="Tahoma"/>
            <family val="2"/>
          </rPr>
          <t xml:space="preserve">
Split not disclosed</t>
        </r>
      </text>
    </comment>
    <comment ref="A16" authorId="0" shapeId="0" xr:uid="{B2BD4067-1941-4EA1-AD0C-B95FF0C3AF54}">
      <text>
        <r>
          <rPr>
            <b/>
            <sz val="9"/>
            <color indexed="81"/>
            <rFont val="Tahoma"/>
            <family val="2"/>
          </rPr>
          <t>marlistruwig:</t>
        </r>
        <r>
          <rPr>
            <sz val="9"/>
            <color indexed="81"/>
            <rFont val="Tahoma"/>
            <family val="2"/>
          </rPr>
          <t xml:space="preserve">
BOI (UK) Interim results not published, only group (euro)</t>
        </r>
      </text>
    </comment>
    <comment ref="S17" authorId="0" shapeId="0" xr:uid="{AD3AB924-71D2-476E-BDDD-064CDA49AC4C}">
      <text>
        <r>
          <rPr>
            <b/>
            <sz val="9"/>
            <color indexed="81"/>
            <rFont val="Tahoma"/>
            <family val="2"/>
          </rPr>
          <t>marlistruwig:</t>
        </r>
        <r>
          <rPr>
            <sz val="9"/>
            <color indexed="81"/>
            <rFont val="Tahoma"/>
            <family val="2"/>
          </rPr>
          <t xml:space="preserve">
mortgage stage allocation not provided, therefore applying 2H19 ratios</t>
        </r>
      </text>
    </comment>
    <comment ref="AA17" authorId="0" shapeId="0" xr:uid="{ACEB061B-22AF-4320-9900-54798A21B990}">
      <text>
        <r>
          <rPr>
            <b/>
            <sz val="9"/>
            <color indexed="81"/>
            <rFont val="Tahoma"/>
            <family val="2"/>
          </rPr>
          <t>marlistruwig:</t>
        </r>
        <r>
          <rPr>
            <sz val="9"/>
            <color indexed="81"/>
            <rFont val="Tahoma"/>
            <family val="2"/>
          </rPr>
          <t xml:space="preserve">
total retail provided, therefore total retail per stage - mortgage portion = consumer per stage</t>
        </r>
      </text>
    </comment>
    <comment ref="BS17" authorId="0" shapeId="0" xr:uid="{CBEA284F-29B5-410B-8337-D40918748776}">
      <text>
        <r>
          <rPr>
            <b/>
            <sz val="9"/>
            <color indexed="81"/>
            <rFont val="Tahoma"/>
            <family val="2"/>
          </rPr>
          <t>marlistruwig:</t>
        </r>
        <r>
          <rPr>
            <sz val="9"/>
            <color indexed="81"/>
            <rFont val="Tahoma"/>
            <family val="2"/>
          </rPr>
          <t xml:space="preserve">
mortgage ECL split not provided, therefore balancing figure between total retail ecl per stage and consumer lending</t>
        </r>
      </text>
    </comment>
    <comment ref="CA17" authorId="0" shapeId="0" xr:uid="{EFACE879-DBA7-4FFE-8396-A20580B4DB70}">
      <text>
        <r>
          <rPr>
            <b/>
            <sz val="9"/>
            <color indexed="81"/>
            <rFont val="Tahoma"/>
            <family val="2"/>
          </rPr>
          <t>marlistruwig:</t>
        </r>
        <r>
          <rPr>
            <sz val="9"/>
            <color indexed="81"/>
            <rFont val="Tahoma"/>
            <family val="2"/>
          </rPr>
          <t xml:space="preserve">
only total ECL povided for unsecured retail, therefore allocated based on 2H19 logic</t>
        </r>
      </text>
    </comment>
    <comment ref="AW18" authorId="0" shapeId="0" xr:uid="{AFC28D9A-A027-4910-9D79-5A39AEC7CA78}">
      <text>
        <r>
          <rPr>
            <b/>
            <sz val="9"/>
            <color indexed="81"/>
            <rFont val="Tahoma"/>
            <family val="2"/>
          </rPr>
          <t>marlistruwig:</t>
        </r>
        <r>
          <rPr>
            <sz val="9"/>
            <color indexed="81"/>
            <rFont val="Tahoma"/>
            <family val="2"/>
          </rPr>
          <t xml:space="preserve">
Split not provided in H1, 2H19 logic followed</t>
        </r>
      </text>
    </comment>
    <comment ref="BY19" authorId="0" shapeId="0" xr:uid="{FD31D2A6-085B-4EF3-9A91-68110895B554}">
      <text>
        <r>
          <rPr>
            <b/>
            <sz val="9"/>
            <color indexed="81"/>
            <rFont val="Tahoma"/>
            <family val="2"/>
          </rPr>
          <t>marlistruwig:</t>
        </r>
        <r>
          <rPr>
            <sz val="9"/>
            <color indexed="81"/>
            <rFont val="Tahoma"/>
            <family val="2"/>
          </rPr>
          <t xml:space="preserve">
added Covid-19 and economic PMA</t>
        </r>
      </text>
    </comment>
    <comment ref="A23" authorId="0" shapeId="0" xr:uid="{9366A0D6-6DF5-4744-BA2D-5CA9CA57E24E}">
      <text>
        <r>
          <rPr>
            <b/>
            <sz val="9"/>
            <color indexed="81"/>
            <rFont val="Tahoma"/>
            <family val="2"/>
          </rPr>
          <t>marlistruwig:</t>
        </r>
        <r>
          <rPr>
            <sz val="9"/>
            <color indexed="81"/>
            <rFont val="Tahoma"/>
            <family val="2"/>
          </rPr>
          <t xml:space="preserve">
not finding investor relations for Topaz finance limited</t>
        </r>
      </text>
    </comment>
    <comment ref="A24" authorId="0" shapeId="0" xr:uid="{D304FC29-2437-4A6A-BBE0-2F7A3F1F3830}">
      <text>
        <r>
          <rPr>
            <b/>
            <sz val="9"/>
            <color indexed="81"/>
            <rFont val="Tahoma"/>
            <family val="2"/>
          </rPr>
          <t>marlistruwig:</t>
        </r>
        <r>
          <rPr>
            <sz val="9"/>
            <color indexed="81"/>
            <rFont val="Tahoma"/>
            <family val="2"/>
          </rPr>
          <t xml:space="preserve">
interim results not published</t>
        </r>
      </text>
    </comment>
  </commentList>
</comments>
</file>

<file path=xl/sharedStrings.xml><?xml version="1.0" encoding="utf-8"?>
<sst xmlns="http://schemas.openxmlformats.org/spreadsheetml/2006/main" count="865" uniqueCount="252">
  <si>
    <t>Financials and coverage 1Q20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</si>
  <si>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</si>
  <si>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</si>
  <si>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</si>
  <si>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</si>
  <si>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</si>
  <si>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</si>
  <si>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</si>
  <si>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</si>
  <si>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</si>
  <si>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</si>
  <si>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</si>
  <si>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</si>
  <si>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</si>
  <si>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</si>
  <si>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</si>
  <si>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</si>
  <si>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</si>
  <si>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</si>
  <si>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</si>
  <si>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</si>
  <si>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</si>
  <si>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</si>
  <si>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</si>
  <si>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</si>
  <si>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</si>
  <si>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</si>
  <si>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</si>
  <si>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</si>
  <si>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</si>
  <si>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</si>
  <si>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</si>
  <si>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</si>
  <si>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</si>
  <si>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</si>
  <si>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</si>
  <si>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</si>
  <si>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</si>
  <si>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</si>
  <si>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</si>
  <si>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</si>
  <si>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</si>
  <si>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</si>
  <si>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</si>
  <si>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</si>
  <si>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</si>
  <si>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</si>
  <si>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</si>
  <si>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</si>
  <si>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</si>
  <si>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</si>
  <si>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</si>
  <si>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</si>
  <si>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</si>
  <si>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</si>
  <si>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</si>
  <si>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</si>
  <si>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</si>
  <si>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</si>
  <si>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</si>
  <si>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</si>
  <si>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</si>
  <si>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</si>
  <si>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</si>
  <si>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</si>
  <si>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</si>
  <si>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</si>
  <si>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</si>
  <si>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</si>
  <si>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</si>
  <si>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</si>
  <si>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</si>
  <si>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</si>
  <si>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</si>
  <si>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</si>
  <si>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</si>
  <si>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</si>
  <si>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</si>
  <si>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</si>
  <si>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</si>
  <si>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</si>
  <si>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</si>
  <si>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</si>
  <si>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</si>
  <si>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</si>
  <si>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</si>
  <si>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</si>
  <si>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</si>
  <si>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</si>
  <si>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</si>
  <si>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</si>
  <si>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</si>
  <si>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</si>
  <si>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</si>
  <si>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</si>
  <si>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</si>
  <si>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</si>
  <si>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</si>
  <si>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</si>
  <si>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</si>
  <si>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</si>
  <si>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</si>
  <si>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</si>
  <si>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</si>
  <si>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</si>
  <si>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</si>
  <si>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</si>
  <si>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</si>
  <si>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</si>
  <si>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</si>
  <si>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</si>
  <si>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</si>
  <si>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</si>
  <si>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</si>
  <si>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</si>
  <si>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</si>
  <si>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</si>
  <si>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</si>
  <si>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</si>
  <si>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</si>
  <si>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</si>
  <si>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</si>
  <si>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</si>
  <si>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</si>
  <si>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</si>
  <si>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</si>
  <si>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</si>
  <si>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</si>
  <si>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</si>
  <si>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</si>
  <si>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</si>
  <si>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</si>
  <si>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</si>
  <si>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</si>
  <si>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</si>
  <si>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</si>
  <si>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</si>
  <si>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</si>
  <si>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</si>
  <si>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</si>
  <si>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</si>
  <si>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</si>
  <si>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</si>
  <si>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</si>
  <si>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</si>
  <si>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</si>
  <si>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</si>
  <si>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</si>
  <si>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</si>
  <si>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</si>
  <si>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</si>
  <si>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</si>
  <si>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</si>
  <si>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</si>
  <si>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</si>
  <si>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</si>
  <si>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</si>
  <si>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</si>
  <si>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</si>
  <si>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</si>
  <si>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</si>
  <si>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</si>
  <si>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</si>
  <si>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</si>
  <si>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</si>
  <si>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</si>
  <si>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</si>
  <si>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</si>
  <si>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</si>
  <si>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</si>
  <si>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</si>
  <si>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</si>
  <si>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</si>
  <si>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</si>
  <si>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</si>
  <si>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</si>
  <si>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</si>
  <si>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</si>
  <si>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</si>
  <si>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</si>
  <si>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</si>
  <si>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</si>
  <si>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</si>
  <si>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</si>
  <si>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</si>
  <si>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</si>
  <si>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</si>
  <si>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</si>
  <si>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</si>
  <si>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</si>
  <si>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</si>
  <si>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</si>
  <si>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</si>
  <si>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</si>
  <si>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</si>
  <si>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Firm</t>
  </si>
  <si>
    <t>Assets @ Gross Amortised Cost (£bn)</t>
  </si>
  <si>
    <t>Loans and Advances to Customers @ Gross Amortised Cost (£bn)</t>
  </si>
  <si>
    <t>ECL (£m)</t>
  </si>
  <si>
    <t>Staging balances (%)</t>
  </si>
  <si>
    <t>Stage 2 Analysis</t>
  </si>
  <si>
    <t>Coverage (%)</t>
  </si>
  <si>
    <t>Loss rates</t>
  </si>
  <si>
    <t>S1 &amp; S2 
Impairment (£ mn)</t>
  </si>
  <si>
    <t>S1 &amp; S2 
Exposure (£ mn)</t>
  </si>
  <si>
    <t>Total Assets</t>
  </si>
  <si>
    <t>Loans and Advances</t>
  </si>
  <si>
    <t>Mortgages</t>
  </si>
  <si>
    <t>Consumer Lending (including Auto Finance)</t>
  </si>
  <si>
    <t>Corporate &amp; Commercial</t>
  </si>
  <si>
    <t>Other Loans &amp; Advances</t>
  </si>
  <si>
    <t>Other Assets</t>
  </si>
  <si>
    <t>Total</t>
  </si>
  <si>
    <t>Total Loans &amp; Advances</t>
  </si>
  <si>
    <t>% of S2 30+</t>
  </si>
  <si>
    <t>P&amp;L Charge (£m)</t>
  </si>
  <si>
    <t>AQR (% L&amp;A)</t>
  </si>
  <si>
    <t>Gross Write-offs (£m)</t>
  </si>
  <si>
    <t>Write-off rate (%)</t>
  </si>
  <si>
    <t>S1</t>
  </si>
  <si>
    <t>S2</t>
  </si>
  <si>
    <t>S2 UTD</t>
  </si>
  <si>
    <t>S230+</t>
  </si>
  <si>
    <t>S3</t>
  </si>
  <si>
    <t>POCI</t>
  </si>
  <si>
    <t>Mtgs</t>
  </si>
  <si>
    <t>Cons</t>
  </si>
  <si>
    <t>Comm</t>
  </si>
  <si>
    <t>Other L&amp;A</t>
  </si>
  <si>
    <t>Total L&amp;A</t>
  </si>
  <si>
    <t>Other</t>
  </si>
  <si>
    <t>HSBC - UK</t>
  </si>
  <si>
    <t>N/A</t>
  </si>
  <si>
    <t>Barclays - UK</t>
  </si>
  <si>
    <t>Nationwide</t>
  </si>
  <si>
    <t>Coventry BS</t>
  </si>
  <si>
    <t>Bank of Ireland UK</t>
  </si>
  <si>
    <t>Co-operative Bank</t>
  </si>
  <si>
    <t>Skipton BS</t>
  </si>
  <si>
    <t>Leeds BS</t>
  </si>
  <si>
    <t>Metro Bank</t>
  </si>
  <si>
    <t>Topaz Finance</t>
  </si>
  <si>
    <t>TSB</t>
  </si>
  <si>
    <t>Lloyds - Underlying</t>
  </si>
  <si>
    <t>Santander - UK</t>
  </si>
  <si>
    <t>Yorkshire BS Group</t>
  </si>
  <si>
    <t>Virgin Money</t>
  </si>
  <si>
    <t>Paragon Group</t>
  </si>
  <si>
    <t>Clydesdale Bank PLC</t>
  </si>
  <si>
    <t>OSB</t>
  </si>
  <si>
    <t>CCFS</t>
  </si>
  <si>
    <t>NatWest Bank PLC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</si>
</sst>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%"/>
    <numFmt numFmtId="165" formatCode="#,##0.0"/>
    <numFmt numFmtId="166" formatCode="_-* #,##0_-;\-* #,##0_-;_-* &quot;-&quot;??_-;_-@_-"/>
    <numFmt numFmtId="167" formatCode="#,##0.000"/>
    <numFmt numFmtId="168" formatCode="_-* #,##0.0000_-;\-* #,##0.0000_-;_-* &quot;-&quot;??_-;_-@_-"/>
    <numFmt numFmtId="169" formatCode="#,##0.0000"/>
    <numFmt numFmtId="170" formatCode="0.0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theme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3" fillId="0" borderId="1" xfId="0" applyFont="1" applyBorder="1"/>
    <xf numFmtId="3" fontId="4" fillId="0" borderId="1" xfId="0" applyNumberFormat="1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vertical="center"/>
    </xf>
    <xf numFmtId="3" fontId="0" fillId="0" borderId="1" xfId="0" applyNumberFormat="1" applyBorder="1" applyAlignment="1">
      <alignment vertical="center"/>
    </xf>
    <xf numFmtId="3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/>
    <xf numFmtId="3" fontId="0" fillId="0" borderId="1" xfId="0" applyNumberFormat="1" applyBorder="1"/>
    <xf numFmtId="3" fontId="0" fillId="0" borderId="0" xfId="0" applyNumberFormat="1" applyAlignment="1">
      <alignment horizontal="right" vertical="center"/>
    </xf>
    <xf numFmtId="3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2" fillId="0" borderId="1" xfId="0" applyFont="1" applyBorder="1" applyAlignment="1">
      <alignment horizontal="centerContinuous"/>
    </xf>
    <xf numFmtId="0" fontId="0" fillId="2" borderId="0" xfId="0" applyFill="1"/>
    <xf numFmtId="0" fontId="2" fillId="2" borderId="1" xfId="0" applyFont="1" applyFill="1" applyBorder="1" applyAlignment="1">
      <alignment horizontal="centerContinuous"/>
    </xf>
    <xf numFmtId="0" fontId="2" fillId="2" borderId="0" xfId="0" applyFont="1" applyFill="1" applyAlignment="1">
      <alignment horizontal="centerContinuous"/>
    </xf>
    <xf numFmtId="0" fontId="0" fillId="0" borderId="0" xfId="0" applyAlignment="1">
      <alignment horizontal="left"/>
    </xf>
    <xf numFmtId="164" fontId="2" fillId="2" borderId="1" xfId="0" applyNumberFormat="1" applyFont="1" applyFill="1" applyBorder="1" applyAlignment="1">
      <alignment horizontal="centerContinuous"/>
    </xf>
    <xf numFmtId="3" fontId="2" fillId="2" borderId="1" xfId="0" applyNumberFormat="1" applyFont="1" applyFill="1" applyBorder="1" applyAlignment="1">
      <alignment horizontal="centerContinuous"/>
    </xf>
    <xf numFmtId="0" fontId="0" fillId="0" borderId="3" xfId="0" applyBorder="1" applyAlignment="1">
      <alignment horizontal="centerContinuous"/>
    </xf>
    <xf numFmtId="0" fontId="0" fillId="0" borderId="0" xfId="0" applyAlignment="1">
      <alignment horizontal="right"/>
    </xf>
    <xf numFmtId="0" fontId="0" fillId="0" borderId="4" xfId="0" applyBorder="1" applyAlignment="1">
      <alignment horizontal="centerContinuous"/>
    </xf>
    <xf numFmtId="3" fontId="0" fillId="0" borderId="3" xfId="0" applyNumberFormat="1" applyBorder="1" applyAlignment="1">
      <alignment horizontal="centerContinuous" vertical="center"/>
    </xf>
    <xf numFmtId="164" fontId="0" fillId="0" borderId="3" xfId="0" applyNumberFormat="1" applyBorder="1" applyAlignment="1">
      <alignment horizontal="centerContinuous"/>
    </xf>
    <xf numFmtId="3" fontId="0" fillId="0" borderId="3" xfId="0" applyNumberFormat="1" applyBorder="1" applyAlignment="1">
      <alignment horizontal="centerContinuous"/>
    </xf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vertical="center"/>
    </xf>
    <xf numFmtId="9" fontId="0" fillId="0" borderId="0" xfId="2" applyFont="1" applyFill="1" applyAlignment="1">
      <alignment horizontal="right" vertical="center"/>
    </xf>
    <xf numFmtId="3" fontId="5" fillId="0" borderId="0" xfId="0" applyNumberFormat="1" applyFont="1" applyAlignment="1">
      <alignment horizontal="right" vertical="center" wrapText="1"/>
    </xf>
    <xf numFmtId="3" fontId="0" fillId="0" borderId="0" xfId="0" applyNumberFormat="1" applyAlignment="1">
      <alignment vertical="center" wrapText="1"/>
    </xf>
    <xf numFmtId="165" fontId="5" fillId="0" borderId="0" xfId="0" applyNumberFormat="1" applyFont="1" applyAlignment="1">
      <alignment horizontal="right" vertical="center" wrapText="1"/>
    </xf>
    <xf numFmtId="3" fontId="6" fillId="0" borderId="0" xfId="0" applyNumberFormat="1" applyFont="1" applyAlignment="1">
      <alignment horizontal="right" vertical="center" wrapText="1"/>
    </xf>
    <xf numFmtId="165" fontId="0" fillId="0" borderId="0" xfId="0" applyNumberFormat="1" applyAlignment="1">
      <alignment vertical="center" wrapText="1"/>
    </xf>
    <xf numFmtId="10" fontId="7" fillId="0" borderId="0" xfId="0" applyNumberFormat="1" applyFont="1" applyAlignment="1">
      <alignment horizontal="right" vertical="center" wrapText="1"/>
    </xf>
    <xf numFmtId="9" fontId="7" fillId="0" borderId="0" xfId="0" applyNumberFormat="1" applyFont="1" applyAlignment="1">
      <alignment horizontal="right" vertical="center" wrapText="1"/>
    </xf>
    <xf numFmtId="164" fontId="0" fillId="0" borderId="0" xfId="0" applyNumberFormat="1" applyAlignment="1">
      <alignment horizontal="right" vertical="center" wrapText="1"/>
    </xf>
    <xf numFmtId="10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3" fontId="5" fillId="0" borderId="0" xfId="0" applyNumberFormat="1" applyFont="1"/>
    <xf numFmtId="3" fontId="0" fillId="0" borderId="0" xfId="0" applyNumberFormat="1"/>
    <xf numFmtId="10" fontId="0" fillId="0" borderId="0" xfId="0" applyNumberFormat="1" applyAlignment="1">
      <alignment horizontal="right"/>
    </xf>
    <xf numFmtId="3" fontId="2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/>
    </xf>
    <xf numFmtId="3" fontId="6" fillId="0" borderId="0" xfId="0" applyNumberFormat="1" applyFont="1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166" fontId="0" fillId="0" borderId="0" xfId="1" applyNumberFormat="1" applyFont="1" applyFill="1" applyAlignment="1">
      <alignment vertical="center" wrapText="1"/>
    </xf>
    <xf numFmtId="167" fontId="0" fillId="0" borderId="0" xfId="0" applyNumberFormat="1" applyAlignment="1">
      <alignment vertical="center" wrapText="1"/>
    </xf>
    <xf numFmtId="4" fontId="0" fillId="0" borderId="0" xfId="0" applyNumberFormat="1" applyAlignment="1">
      <alignment vertical="center" wrapText="1"/>
    </xf>
    <xf numFmtId="168" fontId="0" fillId="0" borderId="0" xfId="1" applyNumberFormat="1" applyFont="1" applyFill="1" applyAlignment="1">
      <alignment horizontal="right" vertical="center"/>
    </xf>
    <xf numFmtId="166" fontId="0" fillId="0" borderId="0" xfId="1" applyNumberFormat="1" applyFont="1" applyFill="1" applyAlignment="1">
      <alignment horizontal="right" vertical="center"/>
    </xf>
    <xf numFmtId="169" fontId="6" fillId="0" borderId="0" xfId="0" applyNumberFormat="1" applyFont="1" applyAlignment="1">
      <alignment vertical="center" wrapText="1"/>
    </xf>
    <xf numFmtId="166" fontId="6" fillId="0" borderId="0" xfId="1" applyNumberFormat="1" applyFont="1" applyFill="1" applyAlignment="1">
      <alignment vertical="center" wrapText="1"/>
    </xf>
    <xf numFmtId="10" fontId="7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right"/>
    </xf>
    <xf numFmtId="166" fontId="0" fillId="0" borderId="0" xfId="1" applyNumberFormat="1" applyFont="1" applyFill="1"/>
    <xf numFmtId="170" fontId="0" fillId="0" borderId="0" xfId="0" applyNumberFormat="1" applyAlignment="1">
      <alignment horizontal="right"/>
    </xf>
    <xf numFmtId="166" fontId="7" fillId="0" borderId="0" xfId="1" applyNumberFormat="1" applyFont="1" applyFill="1" applyAlignment="1">
      <alignment vertical="center" wrapText="1"/>
    </xf>
    <xf numFmtId="3" fontId="8" fillId="0" borderId="0" xfId="0" applyNumberFormat="1" applyFont="1" applyAlignment="1">
      <alignment vertical="center" wrapText="1"/>
    </xf>
    <xf numFmtId="3" fontId="8" fillId="0" borderId="0" xfId="0" applyNumberFormat="1" applyFont="1" applyAlignment="1">
      <alignment horizontal="right" vertical="center" wrapText="1"/>
    </xf>
    <xf numFmtId="43" fontId="6" fillId="0" borderId="0" xfId="1" applyFont="1" applyFill="1" applyAlignment="1">
      <alignment vertical="center" wrapText="1"/>
    </xf>
    <xf numFmtId="3" fontId="7" fillId="0" borderId="0" xfId="0" applyNumberFormat="1" applyFont="1" applyAlignment="1">
      <alignment vertical="center" wrapText="1"/>
    </xf>
    <xf numFmtId="3" fontId="6" fillId="0" borderId="0" xfId="0" applyNumberFormat="1" applyFont="1" applyAlignment="1">
      <alignment vertical="center"/>
    </xf>
    <xf numFmtId="3" fontId="6" fillId="0" borderId="0" xfId="0" applyNumberFormat="1" applyFont="1" applyAlignment="1">
      <alignment horizontal="right" vertical="center"/>
    </xf>
    <xf numFmtId="0" fontId="8" fillId="0" borderId="0" xfId="0" applyFont="1"/>
    <xf numFmtId="0" fontId="8" fillId="0" borderId="0" xfId="0" applyFont="1" applyAlignment="1">
      <alignment horizontal="right"/>
    </xf>
    <xf numFmtId="0" fontId="0" fillId="3" borderId="2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0" borderId="5" xfId="0" applyBorder="1" applyAlignment="1">
      <alignment horizontal="center" wrapText="1"/>
    </xf>
    <xf numFmtId="0" fontId="0" fillId="0" borderId="3" xfId="0" applyBorder="1" applyAlignment="1">
      <alignment horizont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.deloitte.com\ukvfmroot\A%20&amp;%20A\London\FS\Clients\S\Securitisation\CCE\LENS\04.%20Clients\UKML\2020\IFRS%209%20model%20review\Risk%20Assessment\ECL%20Analysis%20June%202020%20-%20Final%20-%20Risk%20Assessment%20v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ugh/AppData/Local/Microsoft/Windows/INetCache/Content.Outlook/H16DOWRL/Pipeline%20File%20-Fina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.deloitte.com\ukvfmroot\A%20&amp;%20A\London\FS\Admin\IFRS%209%20-%20Documentation\13.%20Benchmarking\Q2%2020\Benchmarking%201108%20JH%20V2.2%20working%20separately%20with%20HSB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A%20&amp;%20A\London\FS\Clients\C\Credit%20Risk%20Analytics\3.%20Brand%20Eminence%20and%20Thought%20leadership\1.%20Benchmarking\Q4%2020\Workings\UK%20Banks\UK%20banks%20Benchmarking%20Q4%20work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e"/>
      <sheetName val="Inputs"/>
      <sheetName val="Originators"/>
      <sheetName val="Stage &amp; Credit Risk Summary"/>
      <sheetName val="Payment Holiday flags"/>
      <sheetName val="Barley Hill June 2020"/>
      <sheetName val="Barley Hill June 2020 - Min"/>
      <sheetName val="Barley Hill June 2020 - Max"/>
      <sheetName val="Cornhill No. 5 June 2020"/>
      <sheetName val="Cornhill No. 5 June 2020 - Min"/>
      <sheetName val="Cornhill No. 5 June 2020 -  Max"/>
      <sheetName val="Oat Hill No. 1 June 2020"/>
      <sheetName val="Oat Hill No. 1 June 2020 - Min"/>
      <sheetName val="Oat Hill No. 1 June 2020 - Max"/>
      <sheetName val="Cornhill No. 6 June 2020"/>
      <sheetName val="Cornhill No. 6 June 2020 - Min"/>
      <sheetName val="Cornhill No. 6 June 2020 - Max"/>
      <sheetName val="Malt Hill No. 2 June 2020"/>
      <sheetName val="Malt Hill No. 2 June 2020 - Min"/>
      <sheetName val="Malt Hill No. 2 June 2020 - Max"/>
      <sheetName val="Cornhill No. 4 June 2020"/>
      <sheetName val="Cornhill No. 4 June 2020 - Min"/>
      <sheetName val="Cornhill No. 4 June 2020 - Max"/>
      <sheetName val="DTV distribution June 2020"/>
      <sheetName val="DTV distribution June 2020 -CM"/>
      <sheetName val="Sheet3"/>
      <sheetName val="Barley Hill June 2020 - CRA"/>
      <sheetName val="Cornhill No. 5 June 2020 - CRA"/>
      <sheetName val="Oat Hill No. 1 June 2020 - CRA"/>
      <sheetName val="Cornhill No. 6 June 2020 - CRA"/>
      <sheetName val="Malt Hill No. 2 June 2020 - CRA"/>
      <sheetName val="Cornhill No. 4 June 2020 - CRA"/>
    </sheetNames>
    <sheetDataSet>
      <sheetData sheetId="0"/>
      <sheetData sheetId="1">
        <row r="25">
          <cell r="K25">
            <v>0</v>
          </cell>
          <cell r="L25">
            <v>0.5</v>
          </cell>
          <cell r="M25">
            <v>0.75</v>
          </cell>
        </row>
        <row r="26">
          <cell r="K26">
            <v>0.5</v>
          </cell>
          <cell r="L26">
            <v>0.75</v>
          </cell>
          <cell r="M26">
            <v>0.875</v>
          </cell>
        </row>
        <row r="27">
          <cell r="K27">
            <v>0.75</v>
          </cell>
          <cell r="L27">
            <v>0.8</v>
          </cell>
          <cell r="M27">
            <v>1</v>
          </cell>
        </row>
        <row r="28">
          <cell r="K28">
            <v>0.8</v>
          </cell>
          <cell r="L28">
            <v>0.85</v>
          </cell>
          <cell r="M28">
            <v>1.125</v>
          </cell>
        </row>
        <row r="29">
          <cell r="K29">
            <v>0.85</v>
          </cell>
          <cell r="L29">
            <v>0.9</v>
          </cell>
          <cell r="M29">
            <v>1.25</v>
          </cell>
        </row>
        <row r="30">
          <cell r="K30">
            <v>0.9</v>
          </cell>
          <cell r="L30">
            <v>0.95</v>
          </cell>
          <cell r="M30">
            <v>1.375</v>
          </cell>
        </row>
        <row r="31">
          <cell r="K31">
            <v>0.95</v>
          </cell>
          <cell r="L31" t="str">
            <v>+</v>
          </cell>
          <cell r="M31">
            <v>1.5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Flow"/>
      <sheetName val="Pipeline Draft"/>
      <sheetName val="Pivot- Calcs"/>
      <sheetName val="Buffer- Pivots"/>
      <sheetName val="Calculations"/>
    </sheetNames>
    <sheetDataSet>
      <sheetData sheetId="0">
        <row r="12">
          <cell r="G12">
            <v>28</v>
          </cell>
          <cell r="H12">
            <v>42</v>
          </cell>
        </row>
        <row r="14">
          <cell r="H14">
            <v>14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2H20 MES uplift Big 5"/>
      <sheetName val="1H20"/>
      <sheetName val="1H20 SUMMARY"/>
      <sheetName val="1H20 ECL Resilience"/>
      <sheetName val="1Q20"/>
      <sheetName val="2H19"/>
      <sheetName val="1H19"/>
      <sheetName val="2H18"/>
      <sheetName val="2H17"/>
      <sheetName val="Summary"/>
      <sheetName val="1Q20 SUMMARY"/>
      <sheetName val="1Q20 ECL Resilience"/>
      <sheetName val="2H19 MES uplift Big 5"/>
      <sheetName val="---&gt;"/>
      <sheetName val="Historic loss rates"/>
      <sheetName val="Total Chart"/>
      <sheetName val="PNFC Chart"/>
      <sheetName val="Mtgs Chart"/>
      <sheetName val="Consumer Chart"/>
      <sheetName val="Write-offs"/>
      <sheetName val="Balances"/>
    </sheetNames>
    <sheetDataSet>
      <sheetData sheetId="0"/>
      <sheetData sheetId="1"/>
      <sheetData sheetId="2">
        <row r="6">
          <cell r="Q6">
            <v>1031.9080000000001</v>
          </cell>
        </row>
      </sheetData>
      <sheetData sheetId="3"/>
      <sheetData sheetId="4"/>
      <sheetData sheetId="5">
        <row r="11">
          <cell r="AY11" t="str">
            <v>N/A</v>
          </cell>
        </row>
        <row r="13">
          <cell r="S13">
            <v>176.023</v>
          </cell>
          <cell r="T13">
            <v>8.4789999999999992</v>
          </cell>
          <cell r="U13">
            <v>7.0330000000000004</v>
          </cell>
          <cell r="V13">
            <v>0.48</v>
          </cell>
          <cell r="W13">
            <v>1.2709999999999999</v>
          </cell>
          <cell r="X13">
            <v>0.16700000000000001</v>
          </cell>
          <cell r="AA13">
            <v>3.8570000000000002</v>
          </cell>
          <cell r="AB13">
            <v>0.82699999999999996</v>
          </cell>
          <cell r="AC13">
            <v>0</v>
          </cell>
          <cell r="AD13">
            <v>0</v>
          </cell>
          <cell r="AE13">
            <v>0.31</v>
          </cell>
          <cell r="AF13">
            <v>0</v>
          </cell>
          <cell r="AI13"/>
          <cell r="AJ13"/>
          <cell r="AK13"/>
          <cell r="AL13"/>
          <cell r="AM13"/>
          <cell r="AN13"/>
          <cell r="AQ13"/>
          <cell r="AR13"/>
          <cell r="AS13"/>
          <cell r="AT13"/>
          <cell r="AU13"/>
          <cell r="AV13"/>
          <cell r="BS13">
            <v>50.149253731343286</v>
          </cell>
          <cell r="BT13">
            <v>156.71641791044777</v>
          </cell>
          <cell r="BU13" t="str">
            <v>N/A</v>
          </cell>
          <cell r="BV13" t="str">
            <v>N/A</v>
          </cell>
          <cell r="BW13">
            <v>46.388059701492537</v>
          </cell>
          <cell r="BX13">
            <v>-1</v>
          </cell>
          <cell r="CA13">
            <v>35.050997782705096</v>
          </cell>
          <cell r="CB13">
            <v>154.44345898004434</v>
          </cell>
          <cell r="CC13">
            <v>0</v>
          </cell>
          <cell r="CD13">
            <v>0</v>
          </cell>
          <cell r="CE13">
            <v>304.50554323725055</v>
          </cell>
          <cell r="CF13">
            <v>0</v>
          </cell>
          <cell r="CI13">
            <v>3.6363636363636362</v>
          </cell>
          <cell r="CJ13">
            <v>3.6363636363636362</v>
          </cell>
          <cell r="CK13">
            <v>0</v>
          </cell>
          <cell r="CL13">
            <v>0</v>
          </cell>
          <cell r="CM13">
            <v>32.727272727272727</v>
          </cell>
          <cell r="CN13"/>
          <cell r="CQ13">
            <v>0</v>
          </cell>
          <cell r="CR13">
            <v>0</v>
          </cell>
          <cell r="FP13">
            <v>53</v>
          </cell>
          <cell r="FQ13">
            <v>159</v>
          </cell>
          <cell r="FR13">
            <v>-3</v>
          </cell>
          <cell r="FS13">
            <v>0</v>
          </cell>
        </row>
      </sheetData>
      <sheetData sheetId="6">
        <row r="6">
          <cell r="Q6">
            <v>1045.4759999999999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SB"/>
      <sheetName val="Analysis"/>
      <sheetName val="Summary"/>
      <sheetName val="Q4 PMAs"/>
      <sheetName val="4Q20"/>
      <sheetName val="Q4 LTVs"/>
      <sheetName val="1H20"/>
      <sheetName val="2H19"/>
      <sheetName val="Summary UK"/>
      <sheetName val="EUR benchmark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8">
          <cell r="S18">
            <v>16.136199999999999</v>
          </cell>
          <cell r="T18">
            <v>0.67190000000000005</v>
          </cell>
          <cell r="W18">
            <v>5.4800000000000001E-2</v>
          </cell>
          <cell r="X18">
            <v>9.5899999999999999E-2</v>
          </cell>
          <cell r="Y18">
            <v>16.9588</v>
          </cell>
          <cell r="CA18">
            <v>1.7999999999999989</v>
          </cell>
          <cell r="CB18">
            <v>2.5999999999999996</v>
          </cell>
          <cell r="CE18">
            <v>4.9000000000000004</v>
          </cell>
          <cell r="CF18">
            <v>0.1</v>
          </cell>
          <cell r="CG18">
            <v>9.3999999999999986</v>
          </cell>
        </row>
        <row r="19">
          <cell r="AQ19">
            <v>0.16250000000000001</v>
          </cell>
          <cell r="AR19">
            <v>3.2000000000000002E-3</v>
          </cell>
          <cell r="AW19">
            <v>0.16570000000000001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DeloitteColors">
  <a:themeElements>
    <a:clrScheme name="Deloitt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86BC25"/>
      </a:accent1>
      <a:accent2>
        <a:srgbClr val="046A38"/>
      </a:accent2>
      <a:accent3>
        <a:srgbClr val="62B5E5"/>
      </a:accent3>
      <a:accent4>
        <a:srgbClr val="012169"/>
      </a:accent4>
      <a:accent5>
        <a:srgbClr val="0097A9"/>
      </a:accent5>
      <a:accent6>
        <a:srgbClr val="75787B"/>
      </a:accent6>
      <a:hlink>
        <a:srgbClr val="00A3E0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70B70-A248-40C6-986F-905B1473C088}">
  <dimension ref="A1:GO26"/>
  <sheetViews>
    <sheetView tabSelected="1" workbookViewId="0">
      <selection activeCell="A8" sqref="A8"/>
    </sheetView>
  </sheetViews>
  <sheetFormatPr defaultColWidth="8.85546875" defaultRowHeight="15" x14ac:dyDescent="0.25"/>
  <cols>
    <col min="1" max="1" width="36.85546875" customWidth="1"/>
    <col min="2" max="2" width="11.42578125" customWidth="1"/>
    <col min="3" max="18" width="11.42578125" style="10" customWidth="1"/>
    <col min="19" max="62" width="11.42578125" style="11" customWidth="1"/>
    <col min="63" max="64" width="11.42578125" style="10" customWidth="1"/>
    <col min="65" max="68" width="11.42578125" style="11" customWidth="1"/>
    <col min="69" max="70" width="11.42578125" style="10" customWidth="1"/>
    <col min="71" max="72" width="11.42578125" style="11" customWidth="1"/>
    <col min="73" max="74" width="11.42578125" style="10" customWidth="1"/>
    <col min="75" max="141" width="11.42578125" style="11" customWidth="1"/>
    <col min="142" max="147" width="11.42578125" style="10" customWidth="1"/>
    <col min="148" max="154" width="11.42578125" style="11" customWidth="1"/>
    <col min="155" max="158" width="11.42578125" style="12" customWidth="1"/>
    <col min="159" max="160" width="11.42578125" style="11" customWidth="1"/>
    <col min="161" max="164" width="11.42578125" style="12" customWidth="1"/>
    <col min="165" max="166" width="11.42578125" style="11" customWidth="1"/>
    <col min="167" max="170" width="11.42578125" style="12" customWidth="1"/>
    <col min="171" max="175" width="11.42578125" customWidth="1"/>
    <col min="176" max="176" width="11.42578125" style="42" customWidth="1"/>
    <col min="177" max="195" width="11.42578125" customWidth="1"/>
    <col min="196" max="196" width="16.85546875" customWidth="1"/>
    <col min="197" max="197" width="15.140625" customWidth="1"/>
    <col min="198" max="202" width="11.42578125" customWidth="1"/>
  </cols>
  <sheetData>
    <row r="1" spans="1:197" ht="18.75" x14ac:dyDescent="0.3">
      <c r="A1" s="1" t="s">
        <v>0</v>
      </c>
      <c r="B1" s="1"/>
      <c r="C1" s="2"/>
      <c r="D1" s="3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4"/>
      <c r="U1" s="4"/>
      <c r="V1" s="4"/>
      <c r="W1" s="4"/>
      <c r="X1" s="4"/>
      <c r="Y1" s="4"/>
      <c r="Z1" s="4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6"/>
      <c r="BL1" s="6"/>
      <c r="BM1" s="5"/>
      <c r="BN1" s="5"/>
      <c r="BO1" s="5"/>
      <c r="BP1" s="5"/>
      <c r="BQ1" s="6"/>
      <c r="BR1" s="6"/>
      <c r="BS1" s="5"/>
      <c r="BT1" s="5"/>
      <c r="BU1" s="6"/>
      <c r="BV1" s="6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6"/>
      <c r="EM1" s="6"/>
      <c r="EN1" s="6"/>
      <c r="EO1" s="6"/>
      <c r="EP1" s="6"/>
      <c r="EQ1" s="6"/>
      <c r="ER1" s="5"/>
      <c r="ES1" s="5"/>
      <c r="ET1" s="5"/>
      <c r="EU1" s="5"/>
      <c r="EV1" s="5"/>
      <c r="EW1" s="5"/>
      <c r="EX1" s="5"/>
      <c r="EY1" s="7"/>
      <c r="EZ1" s="7"/>
      <c r="FA1" s="7"/>
      <c r="FB1" s="7"/>
      <c r="FC1" s="5"/>
      <c r="FD1" s="5"/>
      <c r="FE1" s="7"/>
      <c r="FF1" s="7"/>
      <c r="FG1" s="7"/>
      <c r="FH1" s="7"/>
      <c r="FI1" s="5"/>
      <c r="FJ1" s="5"/>
      <c r="FK1" s="7"/>
      <c r="FL1" s="7"/>
      <c r="FM1" s="7"/>
      <c r="FN1" s="7"/>
      <c r="FO1" s="8"/>
      <c r="FP1" s="8"/>
      <c r="FQ1" s="8"/>
      <c r="FR1" s="8"/>
      <c r="FS1" s="8"/>
      <c r="FT1" s="9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</row>
    <row r="2" spans="1:197" x14ac:dyDescent="0.25"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FT2"/>
    </row>
    <row r="3" spans="1:197" x14ac:dyDescent="0.25">
      <c r="A3" t="s">
        <v>1</v>
      </c>
      <c r="B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  <c r="H3" s="13" t="s">
        <v>8</v>
      </c>
      <c r="I3" s="13" t="s">
        <v>9</v>
      </c>
      <c r="J3" s="13" t="s">
        <v>10</v>
      </c>
      <c r="K3" s="13" t="s">
        <v>11</v>
      </c>
      <c r="L3" s="13" t="s">
        <v>12</v>
      </c>
      <c r="M3" s="13" t="s">
        <v>13</v>
      </c>
      <c r="N3" s="13" t="s">
        <v>14</v>
      </c>
      <c r="O3" s="13" t="s">
        <v>15</v>
      </c>
      <c r="P3" s="13" t="s">
        <v>16</v>
      </c>
      <c r="Q3" s="13" t="s">
        <v>17</v>
      </c>
      <c r="R3" s="13" t="s">
        <v>18</v>
      </c>
      <c r="S3" s="13" t="s">
        <v>19</v>
      </c>
      <c r="T3" s="13" t="s">
        <v>20</v>
      </c>
      <c r="U3" s="13" t="s">
        <v>21</v>
      </c>
      <c r="V3" s="13" t="s">
        <v>22</v>
      </c>
      <c r="W3" s="13" t="s">
        <v>23</v>
      </c>
      <c r="X3" s="13" t="s">
        <v>24</v>
      </c>
      <c r="Y3" s="13" t="s">
        <v>25</v>
      </c>
      <c r="Z3" s="13" t="s">
        <v>26</v>
      </c>
      <c r="AA3" s="13" t="s">
        <v>27</v>
      </c>
      <c r="AB3" s="13" t="s">
        <v>28</v>
      </c>
      <c r="AC3" s="13" t="s">
        <v>29</v>
      </c>
      <c r="AD3" s="13" t="s">
        <v>30</v>
      </c>
      <c r="AE3" s="13" t="s">
        <v>31</v>
      </c>
      <c r="AF3" s="13" t="s">
        <v>32</v>
      </c>
      <c r="AG3" s="13" t="s">
        <v>33</v>
      </c>
      <c r="AH3" s="13" t="s">
        <v>34</v>
      </c>
      <c r="AI3" s="13" t="s">
        <v>35</v>
      </c>
      <c r="AJ3" s="13" t="s">
        <v>36</v>
      </c>
      <c r="AK3" s="13" t="s">
        <v>37</v>
      </c>
      <c r="AL3" s="13" t="s">
        <v>38</v>
      </c>
      <c r="AM3" s="13" t="s">
        <v>39</v>
      </c>
      <c r="AN3" s="13" t="s">
        <v>40</v>
      </c>
      <c r="AO3" s="13" t="s">
        <v>41</v>
      </c>
      <c r="AP3" s="13" t="s">
        <v>42</v>
      </c>
      <c r="AQ3" s="13" t="s">
        <v>43</v>
      </c>
      <c r="AR3" s="13" t="s">
        <v>44</v>
      </c>
      <c r="AS3" s="13" t="s">
        <v>45</v>
      </c>
      <c r="AT3" s="13" t="s">
        <v>46</v>
      </c>
      <c r="AU3" s="13" t="s">
        <v>47</v>
      </c>
      <c r="AV3" s="13" t="s">
        <v>48</v>
      </c>
      <c r="AW3" s="13" t="s">
        <v>49</v>
      </c>
      <c r="AX3" s="13" t="s">
        <v>50</v>
      </c>
      <c r="AY3" s="13" t="s">
        <v>51</v>
      </c>
      <c r="AZ3" s="13" t="s">
        <v>52</v>
      </c>
      <c r="BA3" s="13" t="s">
        <v>53</v>
      </c>
      <c r="BB3" s="13" t="s">
        <v>54</v>
      </c>
      <c r="BC3" s="13" t="s">
        <v>55</v>
      </c>
      <c r="BD3" s="13" t="s">
        <v>56</v>
      </c>
      <c r="BE3" s="13" t="s">
        <v>57</v>
      </c>
      <c r="BF3" s="13" t="s">
        <v>58</v>
      </c>
      <c r="BG3" s="13" t="s">
        <v>59</v>
      </c>
      <c r="BH3" s="13" t="s">
        <v>60</v>
      </c>
      <c r="BI3" s="13" t="s">
        <v>61</v>
      </c>
      <c r="BJ3" s="13" t="s">
        <v>62</v>
      </c>
      <c r="BK3" s="13" t="s">
        <v>63</v>
      </c>
      <c r="BL3" s="13" t="s">
        <v>64</v>
      </c>
      <c r="BM3" s="13" t="s">
        <v>65</v>
      </c>
      <c r="BN3" s="13" t="s">
        <v>66</v>
      </c>
      <c r="BO3" s="13" t="s">
        <v>67</v>
      </c>
      <c r="BP3" s="13" t="s">
        <v>68</v>
      </c>
      <c r="BQ3" s="13" t="s">
        <v>69</v>
      </c>
      <c r="BR3" s="13" t="s">
        <v>70</v>
      </c>
      <c r="BS3" s="13" t="s">
        <v>71</v>
      </c>
      <c r="BT3" s="13" t="s">
        <v>72</v>
      </c>
      <c r="BU3" s="13" t="s">
        <v>73</v>
      </c>
      <c r="BV3" s="13" t="s">
        <v>74</v>
      </c>
      <c r="BW3" s="13" t="s">
        <v>75</v>
      </c>
      <c r="BX3" s="13" t="s">
        <v>76</v>
      </c>
      <c r="BY3" s="13" t="s">
        <v>77</v>
      </c>
      <c r="BZ3" s="13" t="s">
        <v>78</v>
      </c>
      <c r="CA3" s="13" t="s">
        <v>79</v>
      </c>
      <c r="CB3" s="13" t="s">
        <v>80</v>
      </c>
      <c r="CC3" s="13" t="s">
        <v>81</v>
      </c>
      <c r="CD3" s="13" t="s">
        <v>82</v>
      </c>
      <c r="CE3" s="13" t="s">
        <v>83</v>
      </c>
      <c r="CF3" s="13" t="s">
        <v>84</v>
      </c>
      <c r="CG3" s="13" t="s">
        <v>85</v>
      </c>
      <c r="CH3" s="13" t="s">
        <v>86</v>
      </c>
      <c r="CI3" s="13" t="s">
        <v>87</v>
      </c>
      <c r="CJ3" s="13" t="s">
        <v>88</v>
      </c>
      <c r="CK3" s="13" t="s">
        <v>89</v>
      </c>
      <c r="CL3" s="13" t="s">
        <v>90</v>
      </c>
      <c r="CM3" s="13" t="s">
        <v>91</v>
      </c>
      <c r="CN3" s="13" t="s">
        <v>92</v>
      </c>
      <c r="CO3" s="13" t="s">
        <v>93</v>
      </c>
      <c r="CP3" s="13" t="s">
        <v>94</v>
      </c>
      <c r="CQ3" s="13" t="s">
        <v>95</v>
      </c>
      <c r="CR3" s="13" t="s">
        <v>96</v>
      </c>
      <c r="CS3" s="13" t="s">
        <v>97</v>
      </c>
      <c r="CT3" s="13" t="s">
        <v>98</v>
      </c>
      <c r="CU3" s="13" t="s">
        <v>99</v>
      </c>
      <c r="CV3" s="13" t="s">
        <v>100</v>
      </c>
      <c r="CW3" s="13" t="s">
        <v>101</v>
      </c>
      <c r="CX3" s="13" t="s">
        <v>102</v>
      </c>
      <c r="CY3" s="13" t="s">
        <v>103</v>
      </c>
      <c r="CZ3" s="13" t="s">
        <v>104</v>
      </c>
      <c r="DA3" s="13" t="s">
        <v>105</v>
      </c>
      <c r="DB3" s="13" t="s">
        <v>106</v>
      </c>
      <c r="DC3" s="13" t="s">
        <v>107</v>
      </c>
      <c r="DD3" s="13" t="s">
        <v>108</v>
      </c>
      <c r="DE3" s="13" t="s">
        <v>109</v>
      </c>
      <c r="DF3" s="13" t="s">
        <v>110</v>
      </c>
      <c r="DG3" s="13" t="s">
        <v>111</v>
      </c>
      <c r="DH3" s="13" t="s">
        <v>112</v>
      </c>
      <c r="DI3" s="13" t="s">
        <v>113</v>
      </c>
      <c r="DJ3" s="13" t="s">
        <v>114</v>
      </c>
      <c r="DK3" s="13" t="s">
        <v>115</v>
      </c>
      <c r="DL3" s="13" t="s">
        <v>116</v>
      </c>
      <c r="DM3" s="13" t="s">
        <v>117</v>
      </c>
      <c r="DN3" s="13" t="s">
        <v>118</v>
      </c>
      <c r="DO3" s="13" t="s">
        <v>119</v>
      </c>
      <c r="DP3" s="13" t="s">
        <v>120</v>
      </c>
      <c r="DQ3" s="13" t="s">
        <v>121</v>
      </c>
      <c r="DR3" s="13" t="s">
        <v>122</v>
      </c>
      <c r="DS3" s="13" t="s">
        <v>123</v>
      </c>
      <c r="DT3" s="13" t="s">
        <v>124</v>
      </c>
      <c r="DU3" s="13" t="s">
        <v>125</v>
      </c>
      <c r="DV3" s="13" t="s">
        <v>126</v>
      </c>
      <c r="DW3" s="13" t="s">
        <v>127</v>
      </c>
      <c r="DX3" s="13" t="s">
        <v>128</v>
      </c>
      <c r="DY3" s="13" t="s">
        <v>129</v>
      </c>
      <c r="DZ3" s="13" t="s">
        <v>130</v>
      </c>
      <c r="EA3" s="13" t="s">
        <v>131</v>
      </c>
      <c r="EB3" s="13" t="s">
        <v>132</v>
      </c>
      <c r="EC3" s="13" t="s">
        <v>133</v>
      </c>
      <c r="ED3" s="13" t="s">
        <v>134</v>
      </c>
      <c r="EE3" s="13" t="s">
        <v>135</v>
      </c>
      <c r="EF3" s="13" t="s">
        <v>136</v>
      </c>
      <c r="EG3" s="13" t="s">
        <v>137</v>
      </c>
      <c r="EH3" s="13" t="s">
        <v>138</v>
      </c>
      <c r="EI3" s="13" t="s">
        <v>139</v>
      </c>
      <c r="EJ3" s="13" t="s">
        <v>140</v>
      </c>
      <c r="EK3" s="13" t="s">
        <v>141</v>
      </c>
      <c r="EL3" s="13" t="s">
        <v>142</v>
      </c>
      <c r="EM3" s="13" t="s">
        <v>143</v>
      </c>
      <c r="EN3" s="13" t="s">
        <v>144</v>
      </c>
      <c r="EO3" s="13" t="s">
        <v>145</v>
      </c>
      <c r="EP3" s="13" t="s">
        <v>146</v>
      </c>
      <c r="EQ3" s="13" t="s">
        <v>147</v>
      </c>
      <c r="ER3" s="13" t="s">
        <v>148</v>
      </c>
      <c r="ES3" s="13" t="s">
        <v>149</v>
      </c>
      <c r="ET3" s="13" t="s">
        <v>150</v>
      </c>
      <c r="EU3" s="13" t="s">
        <v>151</v>
      </c>
      <c r="EV3" s="13" t="s">
        <v>152</v>
      </c>
      <c r="EW3" s="13" t="s">
        <v>153</v>
      </c>
      <c r="EX3" s="13" t="s">
        <v>154</v>
      </c>
      <c r="EY3" s="13" t="s">
        <v>155</v>
      </c>
      <c r="EZ3" s="13" t="s">
        <v>156</v>
      </c>
      <c r="FA3" s="13" t="s">
        <v>157</v>
      </c>
      <c r="FB3" s="13" t="s">
        <v>158</v>
      </c>
      <c r="FC3" s="13" t="s">
        <v>159</v>
      </c>
      <c r="FD3" s="13" t="s">
        <v>160</v>
      </c>
      <c r="FE3" s="13" t="s">
        <v>161</v>
      </c>
      <c r="FF3" s="13" t="s">
        <v>162</v>
      </c>
      <c r="FG3" s="13" t="s">
        <v>163</v>
      </c>
      <c r="FH3" s="13" t="s">
        <v>164</v>
      </c>
      <c r="FI3" s="13" t="s">
        <v>165</v>
      </c>
      <c r="FJ3" s="13" t="s">
        <v>166</v>
      </c>
      <c r="FK3" s="13" t="s">
        <v>167</v>
      </c>
      <c r="FL3" s="13" t="s">
        <v>168</v>
      </c>
      <c r="FM3" s="13" t="s">
        <v>169</v>
      </c>
      <c r="FN3" s="13" t="s">
        <v>170</v>
      </c>
      <c r="FO3" s="13" t="s">
        <v>171</v>
      </c>
      <c r="FP3" s="13" t="s">
        <v>172</v>
      </c>
      <c r="FQ3" s="13" t="s">
        <v>173</v>
      </c>
      <c r="FR3" s="13" t="s">
        <v>174</v>
      </c>
      <c r="FS3" s="13" t="s">
        <v>175</v>
      </c>
      <c r="FT3" s="13" t="s">
        <v>176</v>
      </c>
      <c r="FU3" s="13" t="s">
        <v>177</v>
      </c>
      <c r="FV3" s="13" t="s">
        <v>178</v>
      </c>
      <c r="FW3" s="13" t="s">
        <v>179</v>
      </c>
      <c r="FX3" s="13" t="s">
        <v>180</v>
      </c>
      <c r="FY3" s="13" t="s">
        <v>181</v>
      </c>
      <c r="FZ3" s="13" t="s">
        <v>182</v>
      </c>
      <c r="GA3" s="13" t="s">
        <v>183</v>
      </c>
      <c r="GB3" s="13" t="s">
        <v>184</v>
      </c>
      <c r="GC3" s="13" t="s">
        <v>185</v>
      </c>
      <c r="GD3" s="13" t="s">
        <v>186</v>
      </c>
      <c r="GE3" s="13" t="s">
        <v>187</v>
      </c>
      <c r="GF3" s="13" t="s">
        <v>188</v>
      </c>
      <c r="GG3" s="13" t="s">
        <v>189</v>
      </c>
      <c r="GH3" s="13" t="s">
        <v>190</v>
      </c>
      <c r="GI3" s="13" t="s">
        <v>191</v>
      </c>
      <c r="GJ3" s="13" t="s">
        <v>192</v>
      </c>
      <c r="GK3" s="13" t="s">
        <v>193</v>
      </c>
      <c r="GL3" s="13" t="s">
        <v>194</v>
      </c>
    </row>
    <row r="4" spans="1:197" x14ac:dyDescent="0.25">
      <c r="A4" s="14" t="s">
        <v>195</v>
      </c>
      <c r="C4" s="15" t="s">
        <v>196</v>
      </c>
      <c r="D4" s="15"/>
      <c r="E4" s="15"/>
      <c r="F4" s="15"/>
      <c r="G4" s="15"/>
      <c r="H4" s="15"/>
      <c r="I4" s="15"/>
      <c r="J4" s="15"/>
      <c r="K4" s="15" t="s">
        <v>197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6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7"/>
      <c r="BG4" s="15" t="s">
        <v>198</v>
      </c>
      <c r="BH4" s="15"/>
      <c r="BI4" s="15"/>
      <c r="BJ4" s="15"/>
      <c r="BK4" s="15"/>
      <c r="BL4" s="15"/>
      <c r="BM4" s="15" t="s">
        <v>198</v>
      </c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7"/>
      <c r="DG4" s="15" t="s">
        <v>199</v>
      </c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7"/>
      <c r="EF4" s="15" t="s">
        <v>200</v>
      </c>
      <c r="EG4" s="15"/>
      <c r="EH4" s="15"/>
      <c r="EI4" s="15"/>
      <c r="EJ4" s="15"/>
      <c r="EK4" s="17"/>
      <c r="EL4" s="15" t="s">
        <v>201</v>
      </c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8"/>
      <c r="EZ4" s="18"/>
      <c r="FA4" s="18"/>
      <c r="FB4" s="18"/>
      <c r="FC4" s="15"/>
      <c r="FD4" s="15"/>
      <c r="FE4" s="18"/>
      <c r="FF4" s="18"/>
      <c r="FG4" s="18"/>
      <c r="FH4" s="18"/>
      <c r="FI4" s="15"/>
      <c r="FJ4" s="15"/>
      <c r="FK4" s="18"/>
      <c r="FL4" s="18"/>
      <c r="FM4" s="18"/>
      <c r="FN4" s="18"/>
      <c r="FP4" s="15" t="s">
        <v>202</v>
      </c>
      <c r="FQ4" s="15"/>
      <c r="FR4" s="15"/>
      <c r="FS4" s="15"/>
      <c r="FT4" s="19"/>
      <c r="FU4" s="15"/>
      <c r="FV4" s="15"/>
      <c r="FW4" s="15"/>
      <c r="FX4" s="15"/>
      <c r="FY4" s="15"/>
      <c r="FZ4" s="15"/>
      <c r="GA4" s="15"/>
      <c r="GB4" s="15"/>
      <c r="GC4" s="15"/>
      <c r="GD4" s="15"/>
      <c r="GE4" s="15"/>
      <c r="GF4" s="15"/>
      <c r="GG4" s="15"/>
      <c r="GH4" s="15"/>
      <c r="GI4" s="15"/>
      <c r="GJ4" s="15"/>
      <c r="GK4" s="15"/>
      <c r="GL4" s="15"/>
      <c r="GN4" s="68" t="s">
        <v>203</v>
      </c>
      <c r="GO4" s="68" t="s">
        <v>204</v>
      </c>
    </row>
    <row r="5" spans="1:197" x14ac:dyDescent="0.25">
      <c r="C5" s="20" t="s">
        <v>205</v>
      </c>
      <c r="D5" s="20"/>
      <c r="E5" s="20"/>
      <c r="F5" s="20"/>
      <c r="G5" s="20"/>
      <c r="H5" s="20"/>
      <c r="I5" s="20"/>
      <c r="J5" s="21"/>
      <c r="K5" s="20" t="s">
        <v>206</v>
      </c>
      <c r="L5" s="20"/>
      <c r="M5" s="20"/>
      <c r="N5" s="20"/>
      <c r="O5" s="20"/>
      <c r="P5" s="20"/>
      <c r="Q5" s="20"/>
      <c r="R5" s="21"/>
      <c r="S5" s="20" t="s">
        <v>207</v>
      </c>
      <c r="T5" s="20"/>
      <c r="U5" s="20"/>
      <c r="V5" s="20"/>
      <c r="W5" s="20"/>
      <c r="X5" s="20"/>
      <c r="Y5" s="20"/>
      <c r="Z5" s="22"/>
      <c r="AA5" s="20" t="s">
        <v>208</v>
      </c>
      <c r="AB5" s="20"/>
      <c r="AC5" s="20"/>
      <c r="AD5" s="20"/>
      <c r="AE5" s="20"/>
      <c r="AF5" s="20"/>
      <c r="AG5" s="20"/>
      <c r="AH5" s="21"/>
      <c r="AI5" s="20" t="s">
        <v>209</v>
      </c>
      <c r="AJ5" s="20"/>
      <c r="AK5" s="20"/>
      <c r="AL5" s="20"/>
      <c r="AM5" s="20"/>
      <c r="AN5" s="20"/>
      <c r="AO5" s="20"/>
      <c r="AP5" s="21"/>
      <c r="AQ5" s="20" t="s">
        <v>210</v>
      </c>
      <c r="AR5" s="20"/>
      <c r="AS5" s="20"/>
      <c r="AT5" s="20"/>
      <c r="AU5" s="20"/>
      <c r="AV5" s="20"/>
      <c r="AW5" s="20"/>
      <c r="AX5" s="21"/>
      <c r="AY5" s="20" t="s">
        <v>211</v>
      </c>
      <c r="AZ5" s="20"/>
      <c r="BA5" s="20"/>
      <c r="BB5" s="20"/>
      <c r="BC5" s="20"/>
      <c r="BD5" s="20"/>
      <c r="BE5" s="20"/>
      <c r="BF5" s="21"/>
      <c r="BG5" s="20" t="s">
        <v>212</v>
      </c>
      <c r="BH5" s="20"/>
      <c r="BI5" s="20"/>
      <c r="BJ5" s="20"/>
      <c r="BK5" s="20"/>
      <c r="BL5" s="21"/>
      <c r="BM5" s="20" t="s">
        <v>213</v>
      </c>
      <c r="BN5" s="20"/>
      <c r="BO5" s="20"/>
      <c r="BP5" s="20"/>
      <c r="BQ5" s="20"/>
      <c r="BR5" s="21"/>
      <c r="BS5" s="70" t="s">
        <v>207</v>
      </c>
      <c r="BT5" s="71"/>
      <c r="BU5" s="71"/>
      <c r="BV5" s="71"/>
      <c r="BW5" s="71"/>
      <c r="BX5" s="71"/>
      <c r="BY5" s="71"/>
      <c r="BZ5" s="71"/>
      <c r="CA5" s="20" t="s">
        <v>208</v>
      </c>
      <c r="CB5" s="20"/>
      <c r="CC5" s="20"/>
      <c r="CD5" s="20"/>
      <c r="CE5" s="20"/>
      <c r="CF5" s="20"/>
      <c r="CG5" s="20"/>
      <c r="CH5" s="21"/>
      <c r="CI5" s="20" t="s">
        <v>209</v>
      </c>
      <c r="CJ5" s="20"/>
      <c r="CK5" s="20"/>
      <c r="CL5" s="20"/>
      <c r="CM5" s="20"/>
      <c r="CN5" s="20"/>
      <c r="CO5" s="20"/>
      <c r="CP5" s="21"/>
      <c r="CQ5" s="20" t="s">
        <v>210</v>
      </c>
      <c r="CR5" s="20"/>
      <c r="CS5" s="20"/>
      <c r="CT5" s="20"/>
      <c r="CU5" s="20"/>
      <c r="CV5" s="20"/>
      <c r="CW5" s="20"/>
      <c r="CX5" s="21"/>
      <c r="CY5" s="20" t="s">
        <v>211</v>
      </c>
      <c r="CZ5" s="20"/>
      <c r="DA5" s="20"/>
      <c r="DB5" s="20"/>
      <c r="DC5" s="20"/>
      <c r="DD5" s="20"/>
      <c r="DE5" s="20"/>
      <c r="DF5" s="21"/>
      <c r="DG5" s="20" t="s">
        <v>213</v>
      </c>
      <c r="DH5" s="20"/>
      <c r="DI5" s="20"/>
      <c r="DJ5" s="20"/>
      <c r="DK5" s="17"/>
      <c r="DL5" s="20" t="s">
        <v>207</v>
      </c>
      <c r="DM5" s="20"/>
      <c r="DN5" s="20"/>
      <c r="DO5" s="20"/>
      <c r="DP5" s="17"/>
      <c r="DQ5" s="20" t="s">
        <v>208</v>
      </c>
      <c r="DR5" s="20"/>
      <c r="DS5" s="20"/>
      <c r="DT5" s="20"/>
      <c r="DU5" s="21"/>
      <c r="DV5" s="20" t="s">
        <v>209</v>
      </c>
      <c r="DW5" s="20"/>
      <c r="DX5" s="20"/>
      <c r="DY5" s="20"/>
      <c r="DZ5" s="21"/>
      <c r="EA5" s="20" t="s">
        <v>210</v>
      </c>
      <c r="EB5" s="20"/>
      <c r="EC5" s="20"/>
      <c r="ED5" s="20"/>
      <c r="EE5" s="21"/>
      <c r="EF5" s="20" t="s">
        <v>214</v>
      </c>
      <c r="EG5" s="20"/>
      <c r="EH5" s="20"/>
      <c r="EI5" s="20"/>
      <c r="EJ5" s="20"/>
      <c r="EK5" s="21"/>
      <c r="EL5" s="20" t="s">
        <v>213</v>
      </c>
      <c r="EM5" s="20"/>
      <c r="EN5" s="20"/>
      <c r="EO5" s="20"/>
      <c r="EP5" s="23"/>
      <c r="EQ5" s="21"/>
      <c r="ER5" s="20" t="s">
        <v>207</v>
      </c>
      <c r="ES5" s="20"/>
      <c r="ET5" s="20"/>
      <c r="EU5" s="20"/>
      <c r="EV5" s="23"/>
      <c r="EW5" s="17"/>
      <c r="EX5" s="20" t="s">
        <v>208</v>
      </c>
      <c r="EY5" s="24"/>
      <c r="EZ5" s="24"/>
      <c r="FA5" s="24"/>
      <c r="FB5" s="24"/>
      <c r="FC5" s="21"/>
      <c r="FD5" s="20" t="s">
        <v>209</v>
      </c>
      <c r="FE5" s="24"/>
      <c r="FF5" s="24"/>
      <c r="FG5" s="24"/>
      <c r="FH5" s="24"/>
      <c r="FI5" s="21"/>
      <c r="FJ5" s="20" t="s">
        <v>210</v>
      </c>
      <c r="FK5" s="24"/>
      <c r="FL5" s="24"/>
      <c r="FM5" s="24"/>
      <c r="FN5" s="24"/>
      <c r="FP5" s="20" t="s">
        <v>215</v>
      </c>
      <c r="FQ5" s="20"/>
      <c r="FR5" s="20"/>
      <c r="FS5" s="20"/>
      <c r="FT5" s="25"/>
      <c r="FV5" s="20" t="s">
        <v>216</v>
      </c>
      <c r="FW5" s="20"/>
      <c r="FX5" s="20"/>
      <c r="FY5" s="20"/>
      <c r="FZ5" s="20"/>
      <c r="GB5" s="20" t="s">
        <v>217</v>
      </c>
      <c r="GC5" s="20"/>
      <c r="GD5" s="20"/>
      <c r="GE5" s="20"/>
      <c r="GF5" s="20"/>
      <c r="GH5" s="20" t="s">
        <v>218</v>
      </c>
      <c r="GI5" s="20"/>
      <c r="GJ5" s="20"/>
      <c r="GK5" s="20"/>
      <c r="GL5" s="20"/>
      <c r="GN5" s="69"/>
      <c r="GO5" s="69"/>
    </row>
    <row r="6" spans="1:197" x14ac:dyDescent="0.25">
      <c r="A6" s="8"/>
      <c r="B6" s="8"/>
      <c r="C6" s="26" t="s">
        <v>219</v>
      </c>
      <c r="D6" s="26" t="s">
        <v>220</v>
      </c>
      <c r="E6" s="26" t="s">
        <v>221</v>
      </c>
      <c r="F6" s="26" t="s">
        <v>222</v>
      </c>
      <c r="G6" s="26" t="s">
        <v>223</v>
      </c>
      <c r="H6" s="26" t="s">
        <v>224</v>
      </c>
      <c r="I6" s="26" t="s">
        <v>212</v>
      </c>
      <c r="J6" s="26"/>
      <c r="K6" s="26" t="s">
        <v>219</v>
      </c>
      <c r="L6" s="26" t="s">
        <v>220</v>
      </c>
      <c r="M6" s="26" t="s">
        <v>221</v>
      </c>
      <c r="N6" s="26" t="s">
        <v>222</v>
      </c>
      <c r="O6" s="26" t="s">
        <v>223</v>
      </c>
      <c r="P6" s="26" t="s">
        <v>224</v>
      </c>
      <c r="Q6" s="26" t="s">
        <v>212</v>
      </c>
      <c r="R6" s="26"/>
      <c r="S6" s="26" t="s">
        <v>219</v>
      </c>
      <c r="T6" s="26" t="s">
        <v>220</v>
      </c>
      <c r="U6" s="26" t="s">
        <v>221</v>
      </c>
      <c r="V6" s="26" t="s">
        <v>222</v>
      </c>
      <c r="W6" s="26" t="s">
        <v>223</v>
      </c>
      <c r="X6" s="26" t="s">
        <v>224</v>
      </c>
      <c r="Y6" s="26" t="s">
        <v>212</v>
      </c>
      <c r="Z6" s="26"/>
      <c r="AA6" s="26" t="s">
        <v>219</v>
      </c>
      <c r="AB6" s="26" t="s">
        <v>220</v>
      </c>
      <c r="AC6" s="26" t="s">
        <v>221</v>
      </c>
      <c r="AD6" s="26" t="s">
        <v>222</v>
      </c>
      <c r="AE6" s="26" t="s">
        <v>223</v>
      </c>
      <c r="AF6" s="26" t="s">
        <v>224</v>
      </c>
      <c r="AG6" s="26" t="s">
        <v>212</v>
      </c>
      <c r="AH6" s="26"/>
      <c r="AI6" s="26" t="s">
        <v>219</v>
      </c>
      <c r="AJ6" s="26" t="s">
        <v>220</v>
      </c>
      <c r="AK6" s="26" t="s">
        <v>221</v>
      </c>
      <c r="AL6" s="26" t="s">
        <v>222</v>
      </c>
      <c r="AM6" s="26" t="s">
        <v>223</v>
      </c>
      <c r="AN6" s="26" t="s">
        <v>224</v>
      </c>
      <c r="AO6" s="26" t="s">
        <v>212</v>
      </c>
      <c r="AP6" s="26"/>
      <c r="AQ6" s="26" t="s">
        <v>219</v>
      </c>
      <c r="AR6" s="26" t="s">
        <v>220</v>
      </c>
      <c r="AS6" s="26" t="s">
        <v>221</v>
      </c>
      <c r="AT6" s="26" t="s">
        <v>222</v>
      </c>
      <c r="AU6" s="26" t="s">
        <v>223</v>
      </c>
      <c r="AV6" s="26" t="s">
        <v>224</v>
      </c>
      <c r="AW6" s="26" t="s">
        <v>212</v>
      </c>
      <c r="AX6" s="26"/>
      <c r="AY6" s="26" t="s">
        <v>219</v>
      </c>
      <c r="AZ6" s="26" t="s">
        <v>220</v>
      </c>
      <c r="BA6" s="26" t="s">
        <v>221</v>
      </c>
      <c r="BB6" s="26" t="s">
        <v>222</v>
      </c>
      <c r="BC6" s="26" t="s">
        <v>223</v>
      </c>
      <c r="BD6" s="26" t="s">
        <v>224</v>
      </c>
      <c r="BE6" s="26" t="s">
        <v>212</v>
      </c>
      <c r="BF6" s="26"/>
      <c r="BG6" s="26" t="s">
        <v>219</v>
      </c>
      <c r="BH6" s="26" t="s">
        <v>220</v>
      </c>
      <c r="BI6" s="26" t="s">
        <v>223</v>
      </c>
      <c r="BJ6" s="26" t="s">
        <v>224</v>
      </c>
      <c r="BK6" s="26" t="s">
        <v>212</v>
      </c>
      <c r="BL6" s="26"/>
      <c r="BM6" s="26" t="s">
        <v>219</v>
      </c>
      <c r="BN6" s="26" t="s">
        <v>220</v>
      </c>
      <c r="BO6" s="26" t="s">
        <v>223</v>
      </c>
      <c r="BP6" s="26" t="s">
        <v>224</v>
      </c>
      <c r="BQ6" s="26" t="s">
        <v>212</v>
      </c>
      <c r="BR6" s="26"/>
      <c r="BS6" s="26" t="s">
        <v>219</v>
      </c>
      <c r="BT6" s="26" t="s">
        <v>220</v>
      </c>
      <c r="BU6" s="26" t="s">
        <v>221</v>
      </c>
      <c r="BV6" s="26" t="s">
        <v>222</v>
      </c>
      <c r="BW6" s="26" t="s">
        <v>223</v>
      </c>
      <c r="BX6" s="26" t="s">
        <v>224</v>
      </c>
      <c r="BY6" s="26" t="s">
        <v>212</v>
      </c>
      <c r="BZ6" s="26"/>
      <c r="CA6" s="26" t="s">
        <v>219</v>
      </c>
      <c r="CB6" s="26" t="s">
        <v>220</v>
      </c>
      <c r="CC6" s="26" t="s">
        <v>221</v>
      </c>
      <c r="CD6" s="26" t="s">
        <v>222</v>
      </c>
      <c r="CE6" s="26" t="s">
        <v>223</v>
      </c>
      <c r="CF6" s="26" t="s">
        <v>224</v>
      </c>
      <c r="CG6" s="26" t="s">
        <v>212</v>
      </c>
      <c r="CH6" s="26"/>
      <c r="CI6" s="26" t="s">
        <v>219</v>
      </c>
      <c r="CJ6" s="26" t="s">
        <v>220</v>
      </c>
      <c r="CK6" s="26" t="s">
        <v>221</v>
      </c>
      <c r="CL6" s="26" t="s">
        <v>222</v>
      </c>
      <c r="CM6" s="26" t="s">
        <v>223</v>
      </c>
      <c r="CN6" s="26" t="s">
        <v>224</v>
      </c>
      <c r="CO6" s="26" t="s">
        <v>212</v>
      </c>
      <c r="CP6" s="26"/>
      <c r="CQ6" s="26" t="s">
        <v>219</v>
      </c>
      <c r="CR6" s="26" t="s">
        <v>220</v>
      </c>
      <c r="CS6" s="26" t="s">
        <v>221</v>
      </c>
      <c r="CT6" s="26" t="s">
        <v>222</v>
      </c>
      <c r="CU6" s="26" t="s">
        <v>223</v>
      </c>
      <c r="CV6" s="26" t="s">
        <v>224</v>
      </c>
      <c r="CW6" s="26" t="s">
        <v>212</v>
      </c>
      <c r="CX6" s="26"/>
      <c r="CY6" s="26" t="s">
        <v>219</v>
      </c>
      <c r="CZ6" s="26" t="s">
        <v>220</v>
      </c>
      <c r="DA6" s="26" t="s">
        <v>221</v>
      </c>
      <c r="DB6" s="26" t="s">
        <v>222</v>
      </c>
      <c r="DC6" s="26" t="s">
        <v>223</v>
      </c>
      <c r="DD6" s="26" t="s">
        <v>224</v>
      </c>
      <c r="DE6" s="26" t="s">
        <v>212</v>
      </c>
      <c r="DF6" s="26"/>
      <c r="DG6" s="26" t="s">
        <v>219</v>
      </c>
      <c r="DH6" s="26" t="s">
        <v>220</v>
      </c>
      <c r="DI6" s="26" t="s">
        <v>223</v>
      </c>
      <c r="DJ6" s="26" t="s">
        <v>224</v>
      </c>
      <c r="DK6" s="26"/>
      <c r="DL6" s="26" t="s">
        <v>219</v>
      </c>
      <c r="DM6" s="26" t="s">
        <v>220</v>
      </c>
      <c r="DN6" s="26" t="s">
        <v>223</v>
      </c>
      <c r="DO6" s="26" t="s">
        <v>224</v>
      </c>
      <c r="DP6" s="26"/>
      <c r="DQ6" s="26" t="s">
        <v>219</v>
      </c>
      <c r="DR6" s="26" t="s">
        <v>220</v>
      </c>
      <c r="DS6" s="26" t="s">
        <v>223</v>
      </c>
      <c r="DT6" s="26" t="s">
        <v>224</v>
      </c>
      <c r="DU6" s="26"/>
      <c r="DV6" s="26" t="s">
        <v>219</v>
      </c>
      <c r="DW6" s="26" t="s">
        <v>220</v>
      </c>
      <c r="DX6" s="26" t="s">
        <v>223</v>
      </c>
      <c r="DY6" s="26" t="s">
        <v>224</v>
      </c>
      <c r="DZ6" s="26"/>
      <c r="EA6" s="26" t="s">
        <v>219</v>
      </c>
      <c r="EB6" s="26" t="s">
        <v>220</v>
      </c>
      <c r="EC6" s="26" t="s">
        <v>223</v>
      </c>
      <c r="ED6" s="26" t="s">
        <v>224</v>
      </c>
      <c r="EE6" s="26"/>
      <c r="EF6" s="26" t="s">
        <v>225</v>
      </c>
      <c r="EG6" s="26" t="s">
        <v>226</v>
      </c>
      <c r="EH6" s="26" t="s">
        <v>227</v>
      </c>
      <c r="EI6" s="26" t="s">
        <v>228</v>
      </c>
      <c r="EJ6" s="26" t="s">
        <v>229</v>
      </c>
      <c r="EK6" s="26"/>
      <c r="EL6" s="26" t="s">
        <v>219</v>
      </c>
      <c r="EM6" s="26" t="s">
        <v>220</v>
      </c>
      <c r="EN6" s="26" t="s">
        <v>223</v>
      </c>
      <c r="EO6" s="26" t="s">
        <v>224</v>
      </c>
      <c r="EP6" s="26" t="s">
        <v>212</v>
      </c>
      <c r="EQ6" s="26"/>
      <c r="ER6" s="26" t="s">
        <v>219</v>
      </c>
      <c r="ES6" s="26" t="s">
        <v>220</v>
      </c>
      <c r="ET6" s="26" t="s">
        <v>223</v>
      </c>
      <c r="EU6" s="26" t="s">
        <v>224</v>
      </c>
      <c r="EV6" s="26" t="s">
        <v>212</v>
      </c>
      <c r="EW6" s="26"/>
      <c r="EX6" s="26" t="s">
        <v>219</v>
      </c>
      <c r="EY6" s="27" t="s">
        <v>220</v>
      </c>
      <c r="EZ6" s="27" t="s">
        <v>223</v>
      </c>
      <c r="FA6" s="27" t="s">
        <v>224</v>
      </c>
      <c r="FB6" s="27" t="s">
        <v>212</v>
      </c>
      <c r="FC6" s="26"/>
      <c r="FD6" s="26" t="s">
        <v>219</v>
      </c>
      <c r="FE6" s="27" t="s">
        <v>220</v>
      </c>
      <c r="FF6" s="27" t="s">
        <v>223</v>
      </c>
      <c r="FG6" s="27" t="s">
        <v>224</v>
      </c>
      <c r="FH6" s="27" t="s">
        <v>212</v>
      </c>
      <c r="FI6" s="26"/>
      <c r="FJ6" s="26" t="s">
        <v>219</v>
      </c>
      <c r="FK6" s="27" t="s">
        <v>220</v>
      </c>
      <c r="FL6" s="27" t="s">
        <v>223</v>
      </c>
      <c r="FM6" s="27" t="s">
        <v>224</v>
      </c>
      <c r="FN6" s="27" t="s">
        <v>212</v>
      </c>
      <c r="FO6" s="8"/>
      <c r="FP6" s="21" t="s">
        <v>225</v>
      </c>
      <c r="FQ6" s="21" t="s">
        <v>226</v>
      </c>
      <c r="FR6" s="21" t="s">
        <v>227</v>
      </c>
      <c r="FS6" s="21" t="s">
        <v>230</v>
      </c>
      <c r="FT6" s="28" t="s">
        <v>212</v>
      </c>
      <c r="FU6" s="21"/>
      <c r="FV6" s="21" t="s">
        <v>225</v>
      </c>
      <c r="FW6" s="21" t="s">
        <v>226</v>
      </c>
      <c r="FX6" s="21" t="s">
        <v>227</v>
      </c>
      <c r="FY6" s="21" t="s">
        <v>230</v>
      </c>
      <c r="FZ6" s="21" t="s">
        <v>212</v>
      </c>
      <c r="GB6" s="21" t="s">
        <v>225</v>
      </c>
      <c r="GC6" s="21" t="s">
        <v>226</v>
      </c>
      <c r="GD6" s="21" t="s">
        <v>227</v>
      </c>
      <c r="GE6" s="21" t="s">
        <v>230</v>
      </c>
      <c r="GF6" s="21" t="s">
        <v>212</v>
      </c>
      <c r="GG6" s="21"/>
      <c r="GH6" s="21" t="s">
        <v>225</v>
      </c>
      <c r="GI6" s="21" t="s">
        <v>226</v>
      </c>
      <c r="GJ6" s="21" t="s">
        <v>227</v>
      </c>
      <c r="GK6" s="21" t="s">
        <v>230</v>
      </c>
      <c r="GL6" s="21" t="s">
        <v>212</v>
      </c>
    </row>
    <row r="7" spans="1:197" x14ac:dyDescent="0.25">
      <c r="A7" s="29" t="s">
        <v>231</v>
      </c>
      <c r="B7" s="29"/>
      <c r="C7" s="10">
        <f t="shared" ref="C7:I22" si="0">IF(SUM(S7,AA7,AI7,AY7)&lt;=0,"-",SUM(S7,AA7,AI7,AQ7,AY7))</f>
        <v>221.77</v>
      </c>
      <c r="D7" s="10">
        <f t="shared" si="0"/>
        <v>22.919999999999998</v>
      </c>
      <c r="E7" s="10" t="str">
        <f t="shared" si="0"/>
        <v>-</v>
      </c>
      <c r="F7" s="10" t="str">
        <f t="shared" si="0"/>
        <v>-</v>
      </c>
      <c r="G7" s="10">
        <f t="shared" si="0"/>
        <v>3.6</v>
      </c>
      <c r="H7" s="10">
        <f t="shared" si="0"/>
        <v>3.5000000000000003E-2</v>
      </c>
      <c r="I7" s="10">
        <f t="shared" si="0"/>
        <v>248.32500000000002</v>
      </c>
      <c r="K7" s="10">
        <f t="shared" ref="K7:Q22" si="1">IF(SUM(S7,AA7,AI7,AQ7)&lt;=0,"-",SUM(S7,AA7,AI7,AQ7))</f>
        <v>221.77</v>
      </c>
      <c r="L7" s="10">
        <f t="shared" si="1"/>
        <v>22.919999999999998</v>
      </c>
      <c r="M7" s="10" t="str">
        <f t="shared" si="1"/>
        <v>-</v>
      </c>
      <c r="N7" s="10" t="str">
        <f t="shared" si="1"/>
        <v>-</v>
      </c>
      <c r="O7" s="10">
        <f t="shared" si="1"/>
        <v>3.6</v>
      </c>
      <c r="P7" s="10">
        <f t="shared" si="1"/>
        <v>3.5000000000000003E-2</v>
      </c>
      <c r="Q7" s="10">
        <f t="shared" si="1"/>
        <v>248.32500000000002</v>
      </c>
      <c r="R7" s="30"/>
      <c r="S7" s="31">
        <v>100.48699999999999</v>
      </c>
      <c r="T7" s="31">
        <v>2.86</v>
      </c>
      <c r="U7" s="31" t="s">
        <v>232</v>
      </c>
      <c r="V7" s="31" t="s">
        <v>232</v>
      </c>
      <c r="W7" s="31">
        <v>0.81599999999999995</v>
      </c>
      <c r="X7" s="31">
        <v>0</v>
      </c>
      <c r="Y7" s="32">
        <f t="shared" ref="Y7:Y24" si="2">SUM(S7:T7,W7:X7)</f>
        <v>104.163</v>
      </c>
      <c r="Z7" s="32"/>
      <c r="AA7" s="31">
        <v>9.673</v>
      </c>
      <c r="AB7" s="31">
        <v>3.9009999999999998</v>
      </c>
      <c r="AC7" s="31" t="s">
        <v>232</v>
      </c>
      <c r="AD7" s="31" t="s">
        <v>232</v>
      </c>
      <c r="AE7" s="31">
        <v>0.498</v>
      </c>
      <c r="AF7" s="31">
        <v>0</v>
      </c>
      <c r="AG7" s="32">
        <f t="shared" ref="AG7:AG24" si="3">SUM(AA7:AB7,AE7:AF7)</f>
        <v>14.071999999999999</v>
      </c>
      <c r="AH7" s="32"/>
      <c r="AI7" s="31">
        <v>50.264000000000003</v>
      </c>
      <c r="AJ7" s="31">
        <v>15.02</v>
      </c>
      <c r="AK7" s="31" t="s">
        <v>232</v>
      </c>
      <c r="AL7" s="31" t="s">
        <v>232</v>
      </c>
      <c r="AM7" s="33">
        <v>2.222</v>
      </c>
      <c r="AN7" s="33">
        <v>3.5000000000000003E-2</v>
      </c>
      <c r="AO7" s="32">
        <f t="shared" ref="AO7:AO24" si="4">SUM(AI7:AJ7,AM7:AN7)</f>
        <v>67.540999999999997</v>
      </c>
      <c r="AP7" s="32"/>
      <c r="AQ7" s="33">
        <f>1.878+1.376+57.481+0.611</f>
        <v>61.345999999999997</v>
      </c>
      <c r="AR7" s="33">
        <f>0.728+0.067+0.063+0.281</f>
        <v>1.1389999999999998</v>
      </c>
      <c r="AS7" s="34" t="s">
        <v>232</v>
      </c>
      <c r="AT7" s="34" t="s">
        <v>232</v>
      </c>
      <c r="AU7" s="33">
        <f>0.033+0.019+0.012</f>
        <v>6.4000000000000001E-2</v>
      </c>
      <c r="AV7" s="33">
        <v>0</v>
      </c>
      <c r="AW7" s="32">
        <f t="shared" ref="AW7:AW24" si="5">SUM(AQ7:AR7,AU7:AV7)</f>
        <v>62.548999999999999</v>
      </c>
      <c r="AX7" s="32"/>
      <c r="AY7" s="31" t="s">
        <v>232</v>
      </c>
      <c r="AZ7" s="31" t="s">
        <v>232</v>
      </c>
      <c r="BA7" s="31" t="s">
        <v>232</v>
      </c>
      <c r="BB7" s="31" t="s">
        <v>232</v>
      </c>
      <c r="BC7" s="31" t="s">
        <v>232</v>
      </c>
      <c r="BD7" s="31" t="s">
        <v>232</v>
      </c>
      <c r="BE7" s="32">
        <f>SUM(AY7:AZ7,BC7:BD7)</f>
        <v>0</v>
      </c>
      <c r="BF7" s="32"/>
      <c r="BG7" s="10">
        <f>IF(SUM(BS7,CA7,CI7,CY7,CQ7)&lt;=0,"-",SUM(BS7,CA7,CI7,CY7,CQ7))</f>
        <v>418</v>
      </c>
      <c r="BH7" s="10">
        <f t="shared" ref="BH7:BH24" si="6">IF(SUM(BT7,CB7,CJ7,CZ7,CR7)&lt;=0,"-",SUM(BT7,CB7,CJ7,CZ7,CR7))</f>
        <v>1554</v>
      </c>
      <c r="BI7" s="10">
        <f t="shared" ref="BI7:BK22" si="7">IF(SUM(BW7,CE7,CM7,DC7,CU7)&lt;=0,"-",SUM(BW7,CE7,CM7,DC7,CU7))</f>
        <v>1058</v>
      </c>
      <c r="BJ7" s="10">
        <f t="shared" si="7"/>
        <v>6</v>
      </c>
      <c r="BK7" s="10">
        <f t="shared" si="7"/>
        <v>3036</v>
      </c>
      <c r="BM7" s="10">
        <f t="shared" ref="BM7:BN22" si="8">IF(SUM(BS7,CA7,CI7,CQ7)&lt;=0,"-",SUM(BS7,CA7,CI7,CQ7))</f>
        <v>418</v>
      </c>
      <c r="BN7" s="10">
        <f t="shared" si="8"/>
        <v>1554</v>
      </c>
      <c r="BO7" s="10">
        <f t="shared" ref="BO7:BQ22" si="9">IF(SUM(BW7,CE7,CM7,CU7)&lt;=0,"-",SUM(BW7,CE7,CM7,CU7))</f>
        <v>1058</v>
      </c>
      <c r="BP7" s="10">
        <f t="shared" si="9"/>
        <v>6</v>
      </c>
      <c r="BQ7" s="10">
        <f t="shared" si="9"/>
        <v>3036</v>
      </c>
      <c r="BS7" s="33">
        <v>22</v>
      </c>
      <c r="BT7" s="33">
        <v>150</v>
      </c>
      <c r="BU7" s="34" t="s">
        <v>232</v>
      </c>
      <c r="BV7" s="34" t="s">
        <v>232</v>
      </c>
      <c r="BW7" s="33">
        <v>83</v>
      </c>
      <c r="BX7" s="33">
        <v>0</v>
      </c>
      <c r="BY7" s="35">
        <f>SUM(BS7:BX7)</f>
        <v>255</v>
      </c>
      <c r="BZ7" s="35"/>
      <c r="CA7" s="33">
        <v>164</v>
      </c>
      <c r="CB7" s="33">
        <v>692</v>
      </c>
      <c r="CC7" s="34" t="s">
        <v>232</v>
      </c>
      <c r="CD7" s="34" t="s">
        <v>232</v>
      </c>
      <c r="CE7" s="33">
        <v>293</v>
      </c>
      <c r="CF7" s="33">
        <v>0</v>
      </c>
      <c r="CG7" s="35">
        <f>SUM(CA7:CF7)</f>
        <v>1149</v>
      </c>
      <c r="CH7" s="32"/>
      <c r="CI7" s="33">
        <v>226</v>
      </c>
      <c r="CJ7" s="33">
        <v>672</v>
      </c>
      <c r="CK7" s="34" t="s">
        <v>232</v>
      </c>
      <c r="CL7" s="34" t="s">
        <v>232</v>
      </c>
      <c r="CM7" s="33">
        <v>677</v>
      </c>
      <c r="CN7" s="33">
        <v>6</v>
      </c>
      <c r="CO7" s="35">
        <f t="shared" ref="CO7:CO11" si="10">SUM(CI7:CJ7,CM7:CN7)</f>
        <v>1581</v>
      </c>
      <c r="CP7" s="32"/>
      <c r="CQ7" s="33">
        <f>3+3</f>
        <v>6</v>
      </c>
      <c r="CR7" s="33">
        <f>23+1+4+12</f>
        <v>40</v>
      </c>
      <c r="CS7" s="34" t="s">
        <v>232</v>
      </c>
      <c r="CT7" s="34" t="s">
        <v>232</v>
      </c>
      <c r="CU7" s="33">
        <f>4+1</f>
        <v>5</v>
      </c>
      <c r="CV7" s="33">
        <v>0</v>
      </c>
      <c r="CW7" s="32">
        <f t="shared" ref="CW7:CW9" si="11">SUM(CQ7:CR7,CU7:CV7)</f>
        <v>51</v>
      </c>
      <c r="CX7" s="32"/>
      <c r="CY7" s="31" t="s">
        <v>232</v>
      </c>
      <c r="CZ7" s="31" t="s">
        <v>232</v>
      </c>
      <c r="DA7" s="31" t="s">
        <v>232</v>
      </c>
      <c r="DB7" s="31" t="s">
        <v>232</v>
      </c>
      <c r="DC7" s="31" t="s">
        <v>232</v>
      </c>
      <c r="DD7" s="31" t="s">
        <v>232</v>
      </c>
      <c r="DE7" s="32">
        <f t="shared" ref="DE7:DE24" si="12">SUM(CY7:CZ7,DC7:DD7)</f>
        <v>0</v>
      </c>
      <c r="DF7" s="32"/>
      <c r="DG7" s="36">
        <f t="shared" ref="DG7:DH22" si="13">IF(ISERROR(K7/$Q7),"-",IF(K7/$Q7&lt;=0,"-",K7/$Q7))</f>
        <v>0.89306352562166513</v>
      </c>
      <c r="DH7" s="36">
        <f t="shared" si="13"/>
        <v>9.2298399275143453E-2</v>
      </c>
      <c r="DI7" s="36">
        <f t="shared" ref="DI7:DJ22" si="14">IF(ISERROR(O7/$Q7),"-",IF(O7/$Q7&lt;=0,"-",O7/$Q7))</f>
        <v>1.4497130776200544E-2</v>
      </c>
      <c r="DJ7" s="36">
        <f t="shared" si="14"/>
        <v>1.4094432699083862E-4</v>
      </c>
      <c r="DK7" s="32"/>
      <c r="DL7" s="37">
        <f t="shared" ref="DL7:DM22" si="15">IF(ISERROR(S7/$Y7),"-",IF(S7/$Y7&lt;=0,"-",S7/$Y7))</f>
        <v>0.96470915776235322</v>
      </c>
      <c r="DM7" s="37">
        <f t="shared" si="15"/>
        <v>2.745696648522028E-2</v>
      </c>
      <c r="DN7" s="37">
        <f t="shared" ref="DN7:DO22" si="16">IF(ISERROR(W7/$Y7),"-",IF(W7/$Y7&lt;=0,"-",W7/$Y7))</f>
        <v>7.8338757524264845E-3</v>
      </c>
      <c r="DO7" s="37" t="str">
        <f t="shared" si="16"/>
        <v>-</v>
      </c>
      <c r="DP7" s="32"/>
      <c r="DQ7" s="37">
        <f t="shared" ref="DQ7:DR22" si="17">IF(ISERROR(AA7/$AG7),"-",IF(AA7/$AG7&lt;=0,"-",AA7/$AG7))</f>
        <v>0.68739340534394544</v>
      </c>
      <c r="DR7" s="37">
        <f t="shared" si="17"/>
        <v>0.27721716884593517</v>
      </c>
      <c r="DS7" s="37">
        <f t="shared" ref="DS7:DT22" si="18">IF(ISERROR(AE7/$AG7),"-",IF(AE7/$AG7&lt;=0,"-",AE7/$AG7))</f>
        <v>3.538942581011939E-2</v>
      </c>
      <c r="DT7" s="37" t="str">
        <f t="shared" si="18"/>
        <v>-</v>
      </c>
      <c r="DU7" s="32"/>
      <c r="DV7" s="37">
        <f t="shared" ref="DV7:DW22" si="19">IF(ISERROR(AI7/$AO7),"-",IF(AI7/$AO7&lt;=0,"-",AI7/$AO7))</f>
        <v>0.74419981936897595</v>
      </c>
      <c r="DW7" s="37">
        <f t="shared" si="19"/>
        <v>0.22238344116906769</v>
      </c>
      <c r="DX7" s="37">
        <f t="shared" ref="DX7:DY22" si="20">IF(ISERROR(AM7/$AM7),"-",IF(AM7/$AO7&lt;=0,"-",AM7/$AO7))</f>
        <v>3.289853570423891E-2</v>
      </c>
      <c r="DY7" s="37">
        <f t="shared" si="20"/>
        <v>5.1820375771753462E-4</v>
      </c>
      <c r="DZ7" s="32"/>
      <c r="EA7" s="37">
        <f t="shared" ref="EA7:EB22" si="21">IF(ISERROR(AQ7/$AW7),"-",IF(AQ7/$AW7&lt;=0,"-",AQ7/$AW7))</f>
        <v>0.98076707861036938</v>
      </c>
      <c r="EB7" s="37">
        <f t="shared" si="21"/>
        <v>1.8209723576715853E-2</v>
      </c>
      <c r="EC7" s="37">
        <f t="shared" ref="EC7:ED22" si="22">IF(ISERROR(AU7/$AW7),"-",IF(AU7/$AW7&lt;=0,"-",AU7/$AW7))</f>
        <v>1.023197812914675E-3</v>
      </c>
      <c r="ED7" s="37" t="str">
        <f t="shared" si="22"/>
        <v>-</v>
      </c>
      <c r="EE7" s="32"/>
      <c r="EF7" s="38" t="str">
        <f t="shared" ref="EF7:EF24" si="23">IF(ISERROR(V7/T7),"-",V7/T7)</f>
        <v>-</v>
      </c>
      <c r="EG7" s="38" t="str">
        <f t="shared" ref="EG7:EG24" si="24">IF(ISERROR(AD7/AB7),"-",AD7/AB7)</f>
        <v>-</v>
      </c>
      <c r="EH7" s="38" t="str">
        <f t="shared" ref="EH7:EH24" si="25">IF(ISERROR(AL7/AJ7),"-",AL7/AJ7)</f>
        <v>-</v>
      </c>
      <c r="EI7" s="38" t="str">
        <f t="shared" ref="EI7:EI24" si="26">IF(ISERROR(AT7/AR7),"-",AT7/AR7)</f>
        <v>-</v>
      </c>
      <c r="EJ7" s="38" t="str">
        <f t="shared" ref="EJ7:EJ24" si="27">IF(ISERROR(N7/L7),"-",N7/L7)</f>
        <v>-</v>
      </c>
      <c r="EK7" s="32"/>
      <c r="EL7" s="39">
        <f t="shared" ref="EL7:EM22" si="28">IF(ISERROR(BM7/K7/1000),"-",IF((BM7/K7/1000)&lt;=0,"-",BM7/K7/1000))</f>
        <v>1.8848356405284754E-3</v>
      </c>
      <c r="EM7" s="39">
        <f t="shared" si="28"/>
        <v>6.7801047120418859E-2</v>
      </c>
      <c r="EN7" s="39">
        <f t="shared" ref="EN7:EP22" si="29">IF(ISERROR(BO7/O7/1000),"-",IF((BO7/O7/1000)&lt;=0,"-",BO7/O7/1000))</f>
        <v>0.29388888888888887</v>
      </c>
      <c r="EO7" s="39">
        <f t="shared" si="29"/>
        <v>0.17142857142857143</v>
      </c>
      <c r="EP7" s="39">
        <f t="shared" si="29"/>
        <v>1.2225913621262456E-2</v>
      </c>
      <c r="ER7" s="39">
        <f t="shared" ref="ER7:ES22" si="30">IF(OR(BS7=0,S7=0),"-",IF(ISERROR(BS7/S7/1000),"-",IF((BS7/S7/1000)&lt;=0,"-",BS7/S7/1000)))</f>
        <v>2.1893379243086172E-4</v>
      </c>
      <c r="ES7" s="40">
        <f t="shared" si="30"/>
        <v>5.2447552447552448E-2</v>
      </c>
      <c r="ET7" s="40">
        <f t="shared" ref="ET7:EV22" si="31">IF(OR(BW7=0,W7=0),"-",IF(ISERROR(BW7/W7/1000),"-",IF((BW7/W7/1000)&lt;=0,"-",BW7/W7/1000)))</f>
        <v>0.1017156862745098</v>
      </c>
      <c r="EU7" s="40" t="str">
        <f t="shared" si="31"/>
        <v>-</v>
      </c>
      <c r="EV7" s="40">
        <f t="shared" si="31"/>
        <v>2.4480861726332765E-3</v>
      </c>
      <c r="EW7" s="32"/>
      <c r="EX7" s="39">
        <f t="shared" ref="EX7:EY22" si="32">IF(OR(CA7=0,AA7=0),"-",IF(ISERROR(CA7/AA7/1000),"-",IF((CA7/AA7/1000)&lt;=0,"-",CA7/AA7/1000)))</f>
        <v>1.6954409180192285E-2</v>
      </c>
      <c r="EY7" s="40">
        <f t="shared" si="32"/>
        <v>0.17739041271468856</v>
      </c>
      <c r="EZ7" s="40">
        <f t="shared" ref="EZ7:FB22" si="33">IF(OR(CE7=0,AE7=0),"-",IF(ISERROR(CE7/AE7/1000),"-",IF((CE7/AE7/1000)&lt;=0,"-",CE7/AE7/1000)))</f>
        <v>0.58835341365461857</v>
      </c>
      <c r="FA7" s="40" t="str">
        <f t="shared" si="33"/>
        <v>-</v>
      </c>
      <c r="FB7" s="40">
        <f t="shared" si="33"/>
        <v>8.1651506537805577E-2</v>
      </c>
      <c r="FC7" s="32"/>
      <c r="FD7" s="39">
        <f t="shared" ref="FD7:FE22" si="34">IF(OR(CI7=0,AI7=0),"-",IF(ISERROR(CI7/AI7/1000),"-",IF((CI7/AI7/1000)&lt;=0,"-",CI7/AI7/1000)))</f>
        <v>4.4962597485277735E-3</v>
      </c>
      <c r="FE7" s="40">
        <f t="shared" si="34"/>
        <v>4.4740346205059921E-2</v>
      </c>
      <c r="FF7" s="40">
        <f t="shared" ref="FF7:FH22" si="35">IF(OR(CM7=0,AM7=0),"-",IF(ISERROR(CM7/AM7/1000),"-",IF((CM7/AM7/1000)&lt;=0,"-",CM7/AM7/1000)))</f>
        <v>0.30468046804680465</v>
      </c>
      <c r="FG7" s="40">
        <f t="shared" si="35"/>
        <v>0.17142857142857143</v>
      </c>
      <c r="FH7" s="40">
        <f t="shared" si="35"/>
        <v>2.3408004027183491E-2</v>
      </c>
      <c r="FI7" s="32"/>
      <c r="FJ7" s="39">
        <f t="shared" ref="FJ7:FK22" si="36">IF(OR(CQ7=0,AQ7=0),"-",IF(ISERROR(CQ7/AQ7/1000),"-",IF((CQ7/AQ7/1000)&lt;=0,"-",CQ7/AQ7/1000)))</f>
        <v>9.7805887914452456E-5</v>
      </c>
      <c r="FK7" s="39">
        <f t="shared" si="36"/>
        <v>3.5118525021949079E-2</v>
      </c>
      <c r="FL7" s="39">
        <f t="shared" ref="FL7:FN22" si="37">IF(OR(CU7=0,AU7=0),"-",IF(ISERROR(CU7/AU7/1000),"-",IF((CU7/AU7/1000)&lt;=0,"-",CU7/AU7/1000)))</f>
        <v>7.8125E-2</v>
      </c>
      <c r="FM7" s="39" t="str">
        <f t="shared" si="37"/>
        <v>-</v>
      </c>
      <c r="FN7" s="39">
        <f t="shared" si="37"/>
        <v>8.1536075716638157E-4</v>
      </c>
      <c r="FP7" s="41"/>
      <c r="FQ7" s="41"/>
      <c r="FR7" s="41"/>
      <c r="FS7" s="41"/>
      <c r="FT7" s="42">
        <f t="shared" ref="FT7:FT12" si="38">SUM(FP7:FS7)</f>
        <v>0</v>
      </c>
      <c r="FV7" s="43" t="str">
        <f t="shared" ref="FV7:FV24" si="39">IF(ISERROR(FP7/$Y7/1000),"-",IF(FP7/$Y7/1000=0,"-",FP7/$Y7/1000))</f>
        <v>-</v>
      </c>
      <c r="FW7" s="43" t="str">
        <f t="shared" ref="FW7:FW24" si="40">IF(ISERROR(FQ7/$AG7/1000),"-",IF(FQ7/$AG7/1000=0,"-",FQ7/$AG7/1000))</f>
        <v>-</v>
      </c>
      <c r="FX7" s="43" t="str">
        <f t="shared" ref="FX7:FX24" si="41">IF(ISERROR(FR7/$AO7/1000),"-",IF(FR7/$AO7/1000=0,"-",FR7/$AO7/1000))</f>
        <v>-</v>
      </c>
      <c r="FY7" s="43" t="str">
        <f t="shared" ref="FY7:FY24" si="42">IF(ISERROR(FS7/$AW7/1000),"-",IF(FS7/$AW7/1000=0,"-",FS7/$AW7/1000))</f>
        <v>-</v>
      </c>
      <c r="FZ7" s="43" t="str">
        <f t="shared" ref="FZ7:FZ24" si="43">IF(ISERROR(FT7/$Q7/1000),"-",IF(FT7/$Q7/1000=0,"-",FT7/$Q7/1000))</f>
        <v>-</v>
      </c>
      <c r="GB7" s="31"/>
      <c r="GC7" s="31"/>
      <c r="GD7" s="31"/>
      <c r="GE7" s="31"/>
      <c r="GF7" s="28" t="str">
        <f t="shared" ref="GF7:GF12" si="44">IF(SUM(GB7:GE7)=0,"-",SUM(GB7:GE7))</f>
        <v>-</v>
      </c>
      <c r="GH7" s="43" t="str">
        <f t="shared" ref="GH7:GH24" si="45">IF(ISERROR(GB7/$Y7/1000),"-",IF(GB7/$Y7/1000=0,"-",GB7/$Y7/1000))</f>
        <v>-</v>
      </c>
      <c r="GI7" s="43" t="str">
        <f t="shared" ref="GI7:GI24" si="46">IF(ISERROR(GC7/$AG7/1000),"-",IF(GC7/$AG7/1000=0,"-",GC7/$AG7/1000))</f>
        <v>-</v>
      </c>
      <c r="GJ7" s="43" t="str">
        <f t="shared" ref="GJ7:GJ24" si="47">IF(ISERROR(GD7/$AO7/1000),"-",IF(GD7/$AO7/1000=0,"-",GD7/$AO7/1000))</f>
        <v>-</v>
      </c>
      <c r="GK7" s="43" t="str">
        <f t="shared" ref="GK7:GK24" si="48">IF(ISERROR(GE7/$AW7/1000),"-",IF(GE7/$AW7/1000=0,"-",GE7/$AW7/1000))</f>
        <v>-</v>
      </c>
      <c r="GL7" s="43" t="str">
        <f t="shared" ref="GL7:GL24" si="49">IF(ISERROR(GF7/$Q7/1000),"-",IF(GF7/$Q7/1000=0,"-",GF7/$Q7/1000))</f>
        <v>-</v>
      </c>
      <c r="GN7" s="42">
        <f>SUM(BG7:BH7)</f>
        <v>1972</v>
      </c>
      <c r="GO7">
        <f>SUM(C7:D7)*1000</f>
        <v>244690</v>
      </c>
    </row>
    <row r="8" spans="1:197" x14ac:dyDescent="0.25">
      <c r="A8" s="29" t="s">
        <v>243</v>
      </c>
      <c r="B8" s="29"/>
      <c r="C8" s="10">
        <f t="shared" si="0"/>
        <v>428.92899999999997</v>
      </c>
      <c r="D8" s="10">
        <f t="shared" si="0"/>
        <v>68.069000000000003</v>
      </c>
      <c r="E8" s="10">
        <f t="shared" si="0"/>
        <v>62.400000000000006</v>
      </c>
      <c r="F8" s="10">
        <f t="shared" si="0"/>
        <v>6</v>
      </c>
      <c r="G8" s="10">
        <f t="shared" si="0"/>
        <v>10.084</v>
      </c>
      <c r="H8" s="10" t="str">
        <f t="shared" si="0"/>
        <v>-</v>
      </c>
      <c r="I8" s="10">
        <f t="shared" si="0"/>
        <v>507.08199999999999</v>
      </c>
      <c r="J8" s="44"/>
      <c r="K8" s="10">
        <f t="shared" si="1"/>
        <v>428.92899999999997</v>
      </c>
      <c r="L8" s="10">
        <f t="shared" si="1"/>
        <v>68.069000000000003</v>
      </c>
      <c r="M8" s="10">
        <f t="shared" si="1"/>
        <v>62.400000000000006</v>
      </c>
      <c r="N8" s="10">
        <f t="shared" si="1"/>
        <v>6</v>
      </c>
      <c r="O8" s="10">
        <f t="shared" si="1"/>
        <v>10.084</v>
      </c>
      <c r="P8" s="10" t="str">
        <f t="shared" si="1"/>
        <v>-</v>
      </c>
      <c r="Q8" s="10">
        <f t="shared" si="1"/>
        <v>507.08199999999999</v>
      </c>
      <c r="R8" s="30"/>
      <c r="S8" s="31">
        <f>236577/1000</f>
        <v>236.577</v>
      </c>
      <c r="T8" s="31">
        <v>44</v>
      </c>
      <c r="U8" s="31">
        <f>26.5+11.1+2.4</f>
        <v>40</v>
      </c>
      <c r="V8" s="31">
        <v>4</v>
      </c>
      <c r="W8" s="31">
        <v>5</v>
      </c>
      <c r="X8" s="31"/>
      <c r="Y8" s="32">
        <f t="shared" si="2"/>
        <v>285.577</v>
      </c>
      <c r="Z8" s="32"/>
      <c r="AA8" s="31">
        <f>50352/1000</f>
        <v>50.351999999999997</v>
      </c>
      <c r="AB8" s="31">
        <f>7069/1000</f>
        <v>7.069</v>
      </c>
      <c r="AC8" s="31">
        <f>1.5+0.4+0.7+1.8+1+0.7</f>
        <v>6.1</v>
      </c>
      <c r="AD8" s="31">
        <v>1</v>
      </c>
      <c r="AE8" s="31">
        <f>1084/1000</f>
        <v>1.0840000000000001</v>
      </c>
      <c r="AF8" s="31"/>
      <c r="AG8" s="32">
        <f t="shared" si="3"/>
        <v>58.505000000000003</v>
      </c>
      <c r="AH8" s="32"/>
      <c r="AI8" s="31">
        <v>78</v>
      </c>
      <c r="AJ8" s="31">
        <v>17</v>
      </c>
      <c r="AK8" s="31">
        <f>15.7+0.5+0.1</f>
        <v>16.3</v>
      </c>
      <c r="AL8" s="31">
        <v>1</v>
      </c>
      <c r="AM8" s="31">
        <v>4</v>
      </c>
      <c r="AN8" s="31"/>
      <c r="AO8" s="32">
        <f t="shared" si="4"/>
        <v>99</v>
      </c>
      <c r="AP8" s="32"/>
      <c r="AQ8" s="31">
        <v>64</v>
      </c>
      <c r="AR8" s="31">
        <v>0</v>
      </c>
      <c r="AS8" s="31">
        <v>0</v>
      </c>
      <c r="AT8" s="31">
        <v>0</v>
      </c>
      <c r="AU8" s="31">
        <v>0</v>
      </c>
      <c r="AV8" s="31">
        <v>0</v>
      </c>
      <c r="AW8" s="32">
        <f t="shared" si="5"/>
        <v>64</v>
      </c>
      <c r="AX8" s="32"/>
      <c r="AY8" s="31" t="s">
        <v>232</v>
      </c>
      <c r="AZ8" s="31" t="s">
        <v>232</v>
      </c>
      <c r="BA8" s="31" t="s">
        <v>232</v>
      </c>
      <c r="BB8" s="31" t="s">
        <v>232</v>
      </c>
      <c r="BC8" s="31" t="s">
        <v>232</v>
      </c>
      <c r="BD8" s="31" t="s">
        <v>232</v>
      </c>
      <c r="BE8" s="32">
        <f t="shared" ref="BE8:BE24" si="50">SUM(AY8:AZ8,BC8:BD8)</f>
        <v>0</v>
      </c>
      <c r="BF8" s="32"/>
      <c r="BG8" s="10">
        <f t="shared" ref="BG8:BG24" si="51">IF(SUM(BS8,CA8,CI8,CY8,CQ8)&lt;=0,"-",SUM(BS8,CA8,CI8,CY8,CQ8))</f>
        <v>1450.7650378350647</v>
      </c>
      <c r="BH8" s="10">
        <f t="shared" si="6"/>
        <v>2781.2349621649355</v>
      </c>
      <c r="BI8" s="10">
        <f t="shared" si="7"/>
        <v>2763</v>
      </c>
      <c r="BJ8" s="10" t="str">
        <f t="shared" si="7"/>
        <v>-</v>
      </c>
      <c r="BK8" s="10">
        <f t="shared" si="7"/>
        <v>6995</v>
      </c>
      <c r="BL8" s="44"/>
      <c r="BM8" s="10">
        <f t="shared" si="8"/>
        <v>1450.7650378350647</v>
      </c>
      <c r="BN8" s="10">
        <f t="shared" si="8"/>
        <v>2781.2349621649355</v>
      </c>
      <c r="BO8" s="10">
        <f t="shared" si="9"/>
        <v>2763</v>
      </c>
      <c r="BP8" s="10" t="str">
        <f t="shared" si="9"/>
        <v>-</v>
      </c>
      <c r="BQ8" s="10">
        <f t="shared" si="9"/>
        <v>6995</v>
      </c>
      <c r="BR8" s="44"/>
      <c r="BS8" s="31">
        <v>108</v>
      </c>
      <c r="BT8" s="31">
        <v>907</v>
      </c>
      <c r="BU8" s="31">
        <f>352+210+78</f>
        <v>640</v>
      </c>
      <c r="BV8" s="31">
        <f>267</f>
        <v>267</v>
      </c>
      <c r="BW8" s="31">
        <v>748</v>
      </c>
      <c r="BX8" s="31"/>
      <c r="BY8" s="32">
        <f t="shared" ref="BY8" si="52">SUM(BS8:BT8,BW8:BX8)</f>
        <v>1763</v>
      </c>
      <c r="BZ8" s="32"/>
      <c r="CA8" s="31">
        <f>426+194+341-(191*12674/(12674+2920))</f>
        <v>805.76503783506473</v>
      </c>
      <c r="CB8" s="31">
        <f>438+217+383-(191*2920/(12674+2920))</f>
        <v>1002.2349621649353</v>
      </c>
      <c r="CC8" s="31">
        <f>CB8-CD8</f>
        <v>718.23496216493527</v>
      </c>
      <c r="CD8" s="31">
        <f>23+123+138</f>
        <v>284</v>
      </c>
      <c r="CE8" s="31">
        <f>127+152+173</f>
        <v>452</v>
      </c>
      <c r="CF8" s="31"/>
      <c r="CG8" s="32">
        <f t="shared" ref="CG8:CG11" si="53">SUM(CA8:CB8,CE8:CF8)</f>
        <v>2260</v>
      </c>
      <c r="CH8" s="32"/>
      <c r="CI8" s="31">
        <v>325</v>
      </c>
      <c r="CJ8" s="31">
        <v>871</v>
      </c>
      <c r="CK8" s="31">
        <f>826+16+19</f>
        <v>861</v>
      </c>
      <c r="CL8" s="31">
        <v>10</v>
      </c>
      <c r="CM8" s="31">
        <v>1544</v>
      </c>
      <c r="CN8" s="31"/>
      <c r="CO8" s="32">
        <f t="shared" si="10"/>
        <v>2740</v>
      </c>
      <c r="CP8" s="32"/>
      <c r="CQ8" s="31">
        <f>11+201</f>
        <v>212</v>
      </c>
      <c r="CR8" s="31">
        <v>1</v>
      </c>
      <c r="CS8" s="31"/>
      <c r="CT8" s="31">
        <v>1</v>
      </c>
      <c r="CU8" s="31">
        <f>13+6</f>
        <v>19</v>
      </c>
      <c r="CV8" s="31"/>
      <c r="CW8" s="32">
        <f t="shared" si="11"/>
        <v>232</v>
      </c>
      <c r="CX8" s="32"/>
      <c r="CY8" s="31" t="s">
        <v>232</v>
      </c>
      <c r="CZ8" s="31" t="s">
        <v>232</v>
      </c>
      <c r="DA8" s="31" t="s">
        <v>232</v>
      </c>
      <c r="DB8" s="31" t="s">
        <v>232</v>
      </c>
      <c r="DC8" s="31" t="s">
        <v>232</v>
      </c>
      <c r="DD8" s="31" t="s">
        <v>232</v>
      </c>
      <c r="DE8" s="32">
        <f t="shared" si="12"/>
        <v>0</v>
      </c>
      <c r="DF8" s="32"/>
      <c r="DG8" s="36">
        <f t="shared" si="13"/>
        <v>0.84587699819753015</v>
      </c>
      <c r="DH8" s="36">
        <f t="shared" si="13"/>
        <v>0.13423667178089541</v>
      </c>
      <c r="DI8" s="36">
        <f t="shared" si="14"/>
        <v>1.988633002157442E-2</v>
      </c>
      <c r="DJ8" s="36" t="str">
        <f t="shared" si="14"/>
        <v>-</v>
      </c>
      <c r="DK8" s="32"/>
      <c r="DL8" s="37">
        <f t="shared" si="15"/>
        <v>0.82841755463500211</v>
      </c>
      <c r="DM8" s="37">
        <f t="shared" si="15"/>
        <v>0.15407403257265115</v>
      </c>
      <c r="DN8" s="37">
        <f t="shared" si="16"/>
        <v>1.7508412792346724E-2</v>
      </c>
      <c r="DO8" s="37" t="str">
        <f t="shared" si="16"/>
        <v>-</v>
      </c>
      <c r="DP8" s="32"/>
      <c r="DQ8" s="37">
        <f t="shared" si="17"/>
        <v>0.86064438936842991</v>
      </c>
      <c r="DR8" s="37">
        <f t="shared" si="17"/>
        <v>0.12082727971968207</v>
      </c>
      <c r="DS8" s="37">
        <f t="shared" si="18"/>
        <v>1.8528330911887873E-2</v>
      </c>
      <c r="DT8" s="37" t="str">
        <f t="shared" si="18"/>
        <v>-</v>
      </c>
      <c r="DU8" s="32"/>
      <c r="DV8" s="37">
        <f t="shared" si="19"/>
        <v>0.78787878787878785</v>
      </c>
      <c r="DW8" s="37">
        <f t="shared" si="19"/>
        <v>0.17171717171717171</v>
      </c>
      <c r="DX8" s="37">
        <f t="shared" si="20"/>
        <v>4.0404040404040407E-2</v>
      </c>
      <c r="DY8" s="37" t="str">
        <f t="shared" si="20"/>
        <v>-</v>
      </c>
      <c r="DZ8" s="32"/>
      <c r="EA8" s="37">
        <f t="shared" si="21"/>
        <v>1</v>
      </c>
      <c r="EB8" s="37" t="str">
        <f t="shared" si="21"/>
        <v>-</v>
      </c>
      <c r="EC8" s="37" t="str">
        <f t="shared" si="22"/>
        <v>-</v>
      </c>
      <c r="ED8" s="37" t="str">
        <f t="shared" si="22"/>
        <v>-</v>
      </c>
      <c r="EE8" s="32"/>
      <c r="EF8" s="38">
        <f t="shared" si="23"/>
        <v>9.0909090909090912E-2</v>
      </c>
      <c r="EG8" s="38">
        <f t="shared" si="24"/>
        <v>0.14146272457207526</v>
      </c>
      <c r="EH8" s="38">
        <f t="shared" si="25"/>
        <v>5.8823529411764705E-2</v>
      </c>
      <c r="EI8" s="38" t="str">
        <f t="shared" si="26"/>
        <v>-</v>
      </c>
      <c r="EJ8" s="38">
        <f t="shared" si="27"/>
        <v>8.8145852003114478E-2</v>
      </c>
      <c r="EK8" s="32"/>
      <c r="EL8" s="39">
        <f t="shared" si="28"/>
        <v>3.3822964589362457E-3</v>
      </c>
      <c r="EM8" s="39">
        <f t="shared" si="28"/>
        <v>4.0859054226813026E-2</v>
      </c>
      <c r="EN8" s="39">
        <f t="shared" si="29"/>
        <v>0.27399841332804442</v>
      </c>
      <c r="EO8" s="39" t="str">
        <f t="shared" si="29"/>
        <v>-</v>
      </c>
      <c r="EP8" s="39">
        <f t="shared" si="29"/>
        <v>1.379461310005088E-2</v>
      </c>
      <c r="EQ8" s="44"/>
      <c r="ER8" s="39">
        <f t="shared" si="30"/>
        <v>4.5651098796586312E-4</v>
      </c>
      <c r="ES8" s="40">
        <f t="shared" si="30"/>
        <v>2.0613636363636362E-2</v>
      </c>
      <c r="ET8" s="40">
        <f t="shared" si="31"/>
        <v>0.14959999999999998</v>
      </c>
      <c r="EU8" s="40" t="str">
        <f t="shared" si="31"/>
        <v>-</v>
      </c>
      <c r="EV8" s="40">
        <f t="shared" si="31"/>
        <v>6.1734663505814543E-3</v>
      </c>
      <c r="EW8" s="32"/>
      <c r="EX8" s="39">
        <f t="shared" si="32"/>
        <v>1.6002642155923591E-2</v>
      </c>
      <c r="EY8" s="40">
        <f t="shared" si="32"/>
        <v>0.14177888840924252</v>
      </c>
      <c r="EZ8" s="40">
        <f t="shared" si="33"/>
        <v>0.41697416974169738</v>
      </c>
      <c r="FA8" s="40" t="str">
        <f t="shared" si="33"/>
        <v>-</v>
      </c>
      <c r="FB8" s="40">
        <f t="shared" si="33"/>
        <v>3.8629176993419362E-2</v>
      </c>
      <c r="FC8" s="32"/>
      <c r="FD8" s="39">
        <f t="shared" si="34"/>
        <v>4.1666666666666666E-3</v>
      </c>
      <c r="FE8" s="40">
        <f t="shared" si="34"/>
        <v>5.1235294117647059E-2</v>
      </c>
      <c r="FF8" s="40">
        <f t="shared" si="35"/>
        <v>0.38600000000000001</v>
      </c>
      <c r="FG8" s="40" t="str">
        <f t="shared" si="35"/>
        <v>-</v>
      </c>
      <c r="FH8" s="40">
        <f t="shared" si="35"/>
        <v>2.7676767676767678E-2</v>
      </c>
      <c r="FI8" s="32"/>
      <c r="FJ8" s="39">
        <f t="shared" si="36"/>
        <v>3.3124999999999999E-3</v>
      </c>
      <c r="FK8" s="39" t="str">
        <f t="shared" si="36"/>
        <v>-</v>
      </c>
      <c r="FL8" s="39" t="str">
        <f t="shared" si="37"/>
        <v>-</v>
      </c>
      <c r="FM8" s="39" t="str">
        <f t="shared" si="37"/>
        <v>-</v>
      </c>
      <c r="FN8" s="39">
        <f t="shared" si="37"/>
        <v>3.6250000000000002E-3</v>
      </c>
      <c r="FP8" s="41">
        <v>603</v>
      </c>
      <c r="FQ8" s="41">
        <f>656+241+595</f>
        <v>1492</v>
      </c>
      <c r="FR8" s="41">
        <f>1262+257</f>
        <v>1519</v>
      </c>
      <c r="FS8" s="41">
        <f>10+194</f>
        <v>204</v>
      </c>
      <c r="FT8" s="42">
        <f t="shared" si="38"/>
        <v>3818</v>
      </c>
      <c r="FV8" s="43">
        <f t="shared" si="39"/>
        <v>2.1115145827570146E-3</v>
      </c>
      <c r="FW8" s="43">
        <f t="shared" si="40"/>
        <v>2.550209383813349E-2</v>
      </c>
      <c r="FX8" s="43">
        <f t="shared" si="41"/>
        <v>1.5343434343434345E-2</v>
      </c>
      <c r="FY8" s="43">
        <f t="shared" si="42"/>
        <v>3.1874999999999998E-3</v>
      </c>
      <c r="FZ8" s="43">
        <f t="shared" si="43"/>
        <v>7.5293542267325601E-3</v>
      </c>
      <c r="GB8" s="45">
        <v>-56</v>
      </c>
      <c r="GC8" s="34">
        <v>-621</v>
      </c>
      <c r="GD8" s="34">
        <v>-71</v>
      </c>
      <c r="GE8" s="34">
        <v>9</v>
      </c>
      <c r="GF8" s="28">
        <f t="shared" si="44"/>
        <v>-739</v>
      </c>
      <c r="GH8" s="43">
        <f t="shared" si="45"/>
        <v>-1.960942232742833E-4</v>
      </c>
      <c r="GI8" s="43">
        <f t="shared" si="46"/>
        <v>-1.0614477395094437E-2</v>
      </c>
      <c r="GJ8" s="43">
        <f t="shared" si="47"/>
        <v>-7.1717171717171715E-4</v>
      </c>
      <c r="GK8" s="43">
        <f t="shared" si="48"/>
        <v>1.4062499999999999E-4</v>
      </c>
      <c r="GL8" s="43">
        <f t="shared" si="49"/>
        <v>-1.4573579815493351E-3</v>
      </c>
      <c r="GN8" s="42">
        <f t="shared" ref="GN8:GN24" si="54">SUM(BG8:BH8)</f>
        <v>4232</v>
      </c>
      <c r="GO8">
        <f t="shared" ref="GO8:GO24" si="55">SUM(C8:D8)*1000</f>
        <v>496998</v>
      </c>
    </row>
    <row r="9" spans="1:197" x14ac:dyDescent="0.25">
      <c r="A9" s="29" t="s">
        <v>233</v>
      </c>
      <c r="B9" s="29"/>
      <c r="C9" s="10">
        <f t="shared" si="0"/>
        <v>202.255</v>
      </c>
      <c r="D9" s="10">
        <f t="shared" si="0"/>
        <v>32.440000000000005</v>
      </c>
      <c r="E9" s="10">
        <f t="shared" si="0"/>
        <v>30.35</v>
      </c>
      <c r="F9" s="10">
        <f t="shared" si="0"/>
        <v>1.1019999999999999</v>
      </c>
      <c r="G9" s="10">
        <f t="shared" si="0"/>
        <v>3.6989999999999998</v>
      </c>
      <c r="H9" s="10" t="str">
        <f t="shared" si="0"/>
        <v>-</v>
      </c>
      <c r="I9" s="10">
        <f t="shared" si="0"/>
        <v>238.39400000000001</v>
      </c>
      <c r="K9" s="10">
        <f t="shared" si="1"/>
        <v>202.255</v>
      </c>
      <c r="L9" s="10">
        <f t="shared" si="1"/>
        <v>32.440000000000005</v>
      </c>
      <c r="M9" s="10">
        <f t="shared" si="1"/>
        <v>30.35</v>
      </c>
      <c r="N9" s="10">
        <f t="shared" si="1"/>
        <v>1.1019999999999999</v>
      </c>
      <c r="O9" s="10">
        <f t="shared" si="1"/>
        <v>3.6989999999999998</v>
      </c>
      <c r="P9" s="10" t="str">
        <f t="shared" si="1"/>
        <v>-</v>
      </c>
      <c r="Q9" s="10">
        <f t="shared" si="1"/>
        <v>238.39400000000001</v>
      </c>
      <c r="R9" s="30"/>
      <c r="S9" s="46">
        <v>124.94199999999999</v>
      </c>
      <c r="T9" s="46">
        <f>SUM(U9:V9)</f>
        <v>19.391999999999999</v>
      </c>
      <c r="U9" s="47">
        <f>16.826+1.703</f>
        <v>18.529</v>
      </c>
      <c r="V9" s="34">
        <v>0.86299999999999999</v>
      </c>
      <c r="W9" s="46">
        <v>1.1160000000000001</v>
      </c>
      <c r="X9" s="46"/>
      <c r="Y9" s="32">
        <f t="shared" si="2"/>
        <v>145.45000000000002</v>
      </c>
      <c r="Z9" s="32"/>
      <c r="AA9" s="46">
        <v>13.065</v>
      </c>
      <c r="AB9" s="46">
        <f>SUM(AC9:AD9)</f>
        <v>5.98</v>
      </c>
      <c r="AC9" s="47">
        <f>5.639+0.143</f>
        <v>5.782</v>
      </c>
      <c r="AD9" s="34">
        <v>0.19800000000000001</v>
      </c>
      <c r="AE9" s="46">
        <v>1.3779999999999999</v>
      </c>
      <c r="AF9" s="46">
        <v>0</v>
      </c>
      <c r="AG9" s="48">
        <f t="shared" si="3"/>
        <v>20.423000000000002</v>
      </c>
      <c r="AH9" s="32"/>
      <c r="AI9" s="46">
        <v>36.048000000000002</v>
      </c>
      <c r="AJ9" s="46">
        <f>SUM(AK9:AL9)</f>
        <v>6.080000000000001</v>
      </c>
      <c r="AK9" s="47">
        <f>5.841+0.198</f>
        <v>6.0390000000000006</v>
      </c>
      <c r="AL9" s="34">
        <v>4.1000000000000002E-2</v>
      </c>
      <c r="AM9" s="46">
        <v>1.2050000000000001</v>
      </c>
      <c r="AN9" s="46"/>
      <c r="AO9" s="32">
        <f t="shared" si="4"/>
        <v>43.332999999999998</v>
      </c>
      <c r="AP9" s="32"/>
      <c r="AQ9" s="31">
        <v>28.2</v>
      </c>
      <c r="AR9" s="31">
        <v>0.98799999999999999</v>
      </c>
      <c r="AS9" s="31" t="s">
        <v>232</v>
      </c>
      <c r="AT9" s="31" t="s">
        <v>232</v>
      </c>
      <c r="AU9" s="31" t="s">
        <v>232</v>
      </c>
      <c r="AV9" s="31" t="s">
        <v>232</v>
      </c>
      <c r="AW9" s="32">
        <f t="shared" si="5"/>
        <v>29.187999999999999</v>
      </c>
      <c r="AX9" s="32"/>
      <c r="AY9" s="31" t="s">
        <v>232</v>
      </c>
      <c r="AZ9" s="31" t="s">
        <v>232</v>
      </c>
      <c r="BA9" s="31" t="s">
        <v>232</v>
      </c>
      <c r="BB9" s="31" t="s">
        <v>232</v>
      </c>
      <c r="BC9" s="31" t="s">
        <v>232</v>
      </c>
      <c r="BD9" s="31" t="s">
        <v>232</v>
      </c>
      <c r="BE9" s="32">
        <f t="shared" si="50"/>
        <v>0</v>
      </c>
      <c r="BF9" s="32"/>
      <c r="BG9" s="10">
        <f t="shared" si="51"/>
        <v>337</v>
      </c>
      <c r="BH9" s="10">
        <f t="shared" si="6"/>
        <v>1738</v>
      </c>
      <c r="BI9" s="10">
        <f t="shared" si="7"/>
        <v>1221</v>
      </c>
      <c r="BJ9" s="10" t="str">
        <f t="shared" si="7"/>
        <v>-</v>
      </c>
      <c r="BK9" s="10">
        <f t="shared" si="7"/>
        <v>3296</v>
      </c>
      <c r="BM9" s="10">
        <f t="shared" si="8"/>
        <v>337</v>
      </c>
      <c r="BN9" s="10">
        <f t="shared" si="8"/>
        <v>1738</v>
      </c>
      <c r="BO9" s="10">
        <f t="shared" si="9"/>
        <v>1221</v>
      </c>
      <c r="BP9" s="10" t="str">
        <f t="shared" si="9"/>
        <v>-</v>
      </c>
      <c r="BQ9" s="10">
        <f t="shared" si="9"/>
        <v>3296</v>
      </c>
      <c r="BS9" s="46">
        <v>10</v>
      </c>
      <c r="BT9" s="32">
        <f>SUM(BU9:BV9)</f>
        <v>29</v>
      </c>
      <c r="BU9" s="34">
        <f>19+4</f>
        <v>23</v>
      </c>
      <c r="BV9" s="34">
        <v>6</v>
      </c>
      <c r="BW9" s="46">
        <v>47</v>
      </c>
      <c r="BX9" s="46">
        <v>0</v>
      </c>
      <c r="BY9" s="32">
        <f>SUM(BS9:BT9,BW9:BX9)</f>
        <v>86</v>
      </c>
      <c r="BZ9" s="32"/>
      <c r="CA9" s="46">
        <v>294</v>
      </c>
      <c r="CB9" s="46">
        <f>SUM(CC9:CD9)</f>
        <v>1580</v>
      </c>
      <c r="CC9" s="31">
        <f>1404+54</f>
        <v>1458</v>
      </c>
      <c r="CD9" s="31">
        <v>122</v>
      </c>
      <c r="CE9" s="46">
        <v>983</v>
      </c>
      <c r="CF9" s="46">
        <v>0</v>
      </c>
      <c r="CG9" s="32">
        <f t="shared" si="53"/>
        <v>2857</v>
      </c>
      <c r="CH9" s="32"/>
      <c r="CI9" s="46">
        <v>29</v>
      </c>
      <c r="CJ9" s="46">
        <f>SUM(CK9:CL9)</f>
        <v>124</v>
      </c>
      <c r="CK9" s="31">
        <f>119+2</f>
        <v>121</v>
      </c>
      <c r="CL9" s="31">
        <v>3</v>
      </c>
      <c r="CM9" s="46">
        <v>191</v>
      </c>
      <c r="CN9" s="46">
        <v>0</v>
      </c>
      <c r="CO9" s="32">
        <f t="shared" si="10"/>
        <v>344</v>
      </c>
      <c r="CP9" s="32"/>
      <c r="CQ9" s="31">
        <v>4</v>
      </c>
      <c r="CR9" s="31">
        <v>5</v>
      </c>
      <c r="CS9" s="34" t="s">
        <v>232</v>
      </c>
      <c r="CT9" s="34" t="s">
        <v>232</v>
      </c>
      <c r="CU9" s="34" t="s">
        <v>232</v>
      </c>
      <c r="CV9" s="34" t="s">
        <v>232</v>
      </c>
      <c r="CW9" s="32">
        <f t="shared" si="11"/>
        <v>9</v>
      </c>
      <c r="CX9" s="32"/>
      <c r="CY9" s="31" t="s">
        <v>232</v>
      </c>
      <c r="CZ9" s="31" t="s">
        <v>232</v>
      </c>
      <c r="DA9" s="31" t="s">
        <v>232</v>
      </c>
      <c r="DB9" s="31" t="s">
        <v>232</v>
      </c>
      <c r="DC9" s="31" t="s">
        <v>232</v>
      </c>
      <c r="DD9" s="31" t="s">
        <v>232</v>
      </c>
      <c r="DE9" s="32">
        <f t="shared" si="12"/>
        <v>0</v>
      </c>
      <c r="DF9" s="32"/>
      <c r="DG9" s="36">
        <f t="shared" si="13"/>
        <v>0.84840641962465491</v>
      </c>
      <c r="DH9" s="36">
        <f t="shared" si="13"/>
        <v>0.13607725026636577</v>
      </c>
      <c r="DI9" s="36">
        <f t="shared" si="14"/>
        <v>1.5516330108979251E-2</v>
      </c>
      <c r="DJ9" s="36" t="str">
        <f t="shared" si="14"/>
        <v>-</v>
      </c>
      <c r="DK9" s="32"/>
      <c r="DL9" s="37">
        <f t="shared" si="15"/>
        <v>0.85900309384668261</v>
      </c>
      <c r="DM9" s="37">
        <f t="shared" si="15"/>
        <v>0.13332416638019937</v>
      </c>
      <c r="DN9" s="37">
        <f t="shared" si="16"/>
        <v>7.6727397731179096E-3</v>
      </c>
      <c r="DO9" s="37" t="str">
        <f t="shared" si="16"/>
        <v>-</v>
      </c>
      <c r="DP9" s="32"/>
      <c r="DQ9" s="37">
        <f t="shared" si="17"/>
        <v>0.63971992361553143</v>
      </c>
      <c r="DR9" s="37">
        <f t="shared" si="17"/>
        <v>0.2928071292170592</v>
      </c>
      <c r="DS9" s="37">
        <f t="shared" si="18"/>
        <v>6.7472947167409286E-2</v>
      </c>
      <c r="DT9" s="37" t="str">
        <f t="shared" si="18"/>
        <v>-</v>
      </c>
      <c r="DU9" s="32"/>
      <c r="DV9" s="37">
        <f t="shared" si="19"/>
        <v>0.83188332217940142</v>
      </c>
      <c r="DW9" s="37">
        <f t="shared" si="19"/>
        <v>0.14030877160593547</v>
      </c>
      <c r="DX9" s="37">
        <f t="shared" si="20"/>
        <v>2.7807906214663194E-2</v>
      </c>
      <c r="DY9" s="37" t="str">
        <f t="shared" si="20"/>
        <v>-</v>
      </c>
      <c r="DZ9" s="32"/>
      <c r="EA9" s="37">
        <f t="shared" si="21"/>
        <v>0.96615047279703992</v>
      </c>
      <c r="EB9" s="37">
        <f t="shared" si="21"/>
        <v>3.3849527202960118E-2</v>
      </c>
      <c r="EC9" s="37" t="str">
        <f t="shared" si="22"/>
        <v>-</v>
      </c>
      <c r="ED9" s="37" t="str">
        <f t="shared" si="22"/>
        <v>-</v>
      </c>
      <c r="EE9" s="32"/>
      <c r="EF9" s="38">
        <f t="shared" si="23"/>
        <v>4.450288778877888E-2</v>
      </c>
      <c r="EG9" s="38">
        <f t="shared" si="24"/>
        <v>3.311036789297659E-2</v>
      </c>
      <c r="EH9" s="38">
        <f t="shared" si="25"/>
        <v>6.7434210526315782E-3</v>
      </c>
      <c r="EI9" s="38" t="str">
        <f t="shared" si="26"/>
        <v>-</v>
      </c>
      <c r="EJ9" s="38">
        <f t="shared" si="27"/>
        <v>3.3970406905055477E-2</v>
      </c>
      <c r="EK9" s="32"/>
      <c r="EL9" s="39">
        <f t="shared" si="28"/>
        <v>1.6662134434253788E-3</v>
      </c>
      <c r="EM9" s="39">
        <f t="shared" si="28"/>
        <v>5.357583230579531E-2</v>
      </c>
      <c r="EN9" s="39">
        <f t="shared" si="29"/>
        <v>0.33008921330089214</v>
      </c>
      <c r="EO9" s="39" t="str">
        <f t="shared" si="29"/>
        <v>-</v>
      </c>
      <c r="EP9" s="39">
        <f t="shared" si="29"/>
        <v>1.3825851321761453E-2</v>
      </c>
      <c r="ER9" s="39">
        <f t="shared" si="30"/>
        <v>8.0037137231675506E-5</v>
      </c>
      <c r="ES9" s="40">
        <f t="shared" si="30"/>
        <v>1.4954620462046203E-3</v>
      </c>
      <c r="ET9" s="40">
        <f t="shared" si="31"/>
        <v>4.2114695340501787E-2</v>
      </c>
      <c r="EU9" s="40" t="str">
        <f t="shared" si="31"/>
        <v>-</v>
      </c>
      <c r="EV9" s="40">
        <f>IF(OR(BY9=0,Y9=0),"-",IF(ISERROR(BY9/Y9/1000),"-",IF((BY9/Y9/1000)&lt;=0,"-",BY9/Y9/1000)))</f>
        <v>5.9126847713991063E-4</v>
      </c>
      <c r="EW9" s="32"/>
      <c r="EX9" s="39">
        <f t="shared" si="32"/>
        <v>2.2502870264064296E-2</v>
      </c>
      <c r="EY9" s="40">
        <f t="shared" si="32"/>
        <v>0.26421404682274241</v>
      </c>
      <c r="EZ9" s="40">
        <f t="shared" si="33"/>
        <v>0.7133526850507983</v>
      </c>
      <c r="FA9" s="40" t="str">
        <f t="shared" si="33"/>
        <v>-</v>
      </c>
      <c r="FB9" s="40">
        <f t="shared" si="33"/>
        <v>0.13989129902560837</v>
      </c>
      <c r="FC9" s="32"/>
      <c r="FD9" s="39">
        <f t="shared" si="34"/>
        <v>8.0448291167332443E-4</v>
      </c>
      <c r="FE9" s="40">
        <f t="shared" si="34"/>
        <v>2.0394736842105261E-2</v>
      </c>
      <c r="FF9" s="40">
        <f t="shared" si="35"/>
        <v>0.15850622406639001</v>
      </c>
      <c r="FG9" s="40" t="str">
        <f t="shared" si="35"/>
        <v>-</v>
      </c>
      <c r="FH9" s="40">
        <f t="shared" si="35"/>
        <v>7.9385226040200318E-3</v>
      </c>
      <c r="FI9" s="32"/>
      <c r="FJ9" s="39">
        <f t="shared" si="36"/>
        <v>1.4184397163120567E-4</v>
      </c>
      <c r="FK9" s="39">
        <f t="shared" si="36"/>
        <v>5.0607287449392713E-3</v>
      </c>
      <c r="FL9" s="39" t="str">
        <f t="shared" si="37"/>
        <v>-</v>
      </c>
      <c r="FM9" s="39" t="str">
        <f t="shared" si="37"/>
        <v>-</v>
      </c>
      <c r="FN9" s="39">
        <f t="shared" si="37"/>
        <v>3.083458955735234E-4</v>
      </c>
      <c r="FP9" s="31">
        <v>75</v>
      </c>
      <c r="FQ9" s="31">
        <v>1319</v>
      </c>
      <c r="FR9" s="31">
        <v>1183</v>
      </c>
      <c r="FS9" s="31" t="s">
        <v>232</v>
      </c>
      <c r="FT9" s="42">
        <f t="shared" si="38"/>
        <v>2577</v>
      </c>
      <c r="FV9" s="43">
        <f t="shared" si="39"/>
        <v>5.1564111378480575E-4</v>
      </c>
      <c r="FW9" s="43">
        <f t="shared" si="40"/>
        <v>6.4584047397541977E-2</v>
      </c>
      <c r="FX9" s="43">
        <f t="shared" si="41"/>
        <v>2.7300210001615397E-2</v>
      </c>
      <c r="FY9" s="43" t="str">
        <f t="shared" si="42"/>
        <v>-</v>
      </c>
      <c r="FZ9" s="43">
        <f t="shared" si="43"/>
        <v>1.0809835818015553E-2</v>
      </c>
      <c r="GB9" s="45">
        <v>-7</v>
      </c>
      <c r="GC9" s="45">
        <v>-556</v>
      </c>
      <c r="GD9" s="45">
        <v>-80</v>
      </c>
      <c r="GE9" s="45"/>
      <c r="GF9" s="28">
        <f t="shared" si="44"/>
        <v>-643</v>
      </c>
      <c r="GH9" s="43">
        <f t="shared" si="45"/>
        <v>-4.8126503953248537E-5</v>
      </c>
      <c r="GI9" s="43">
        <f t="shared" si="46"/>
        <v>-2.7224208000783429E-2</v>
      </c>
      <c r="GJ9" s="43">
        <f t="shared" si="47"/>
        <v>-1.846168047446519E-3</v>
      </c>
      <c r="GK9" s="43" t="str">
        <f t="shared" si="48"/>
        <v>-</v>
      </c>
      <c r="GL9" s="43">
        <f t="shared" si="49"/>
        <v>-2.6972155339480023E-3</v>
      </c>
      <c r="GN9" s="42">
        <f t="shared" si="54"/>
        <v>2075</v>
      </c>
      <c r="GO9">
        <f t="shared" si="55"/>
        <v>234695</v>
      </c>
    </row>
    <row r="10" spans="1:197" x14ac:dyDescent="0.25">
      <c r="A10" s="29" t="s">
        <v>244</v>
      </c>
      <c r="B10" s="29"/>
      <c r="C10" s="10">
        <f t="shared" si="0"/>
        <v>266.005</v>
      </c>
      <c r="D10" s="10">
        <f t="shared" si="0"/>
        <v>18.713000000000005</v>
      </c>
      <c r="E10" s="10" t="str">
        <f t="shared" si="0"/>
        <v>-</v>
      </c>
      <c r="F10" s="10" t="str">
        <f t="shared" si="0"/>
        <v>-</v>
      </c>
      <c r="G10" s="10">
        <f t="shared" si="0"/>
        <v>2.4609999999999999</v>
      </c>
      <c r="H10" s="10" t="str">
        <f t="shared" si="0"/>
        <v>-</v>
      </c>
      <c r="I10" s="10">
        <f t="shared" si="0"/>
        <v>287.17900000000003</v>
      </c>
      <c r="K10" s="10">
        <f t="shared" si="1"/>
        <v>188.29999999999998</v>
      </c>
      <c r="L10" s="10">
        <f t="shared" si="1"/>
        <v>18.700000000000003</v>
      </c>
      <c r="M10" s="10" t="str">
        <f t="shared" si="1"/>
        <v>-</v>
      </c>
      <c r="N10" s="10" t="str">
        <f t="shared" si="1"/>
        <v>-</v>
      </c>
      <c r="O10" s="10">
        <f t="shared" si="1"/>
        <v>2.5</v>
      </c>
      <c r="P10" s="10" t="str">
        <f t="shared" si="1"/>
        <v>-</v>
      </c>
      <c r="Q10" s="10">
        <f t="shared" si="1"/>
        <v>209.5</v>
      </c>
      <c r="R10" s="30"/>
      <c r="S10" s="46">
        <v>154.19999999999999</v>
      </c>
      <c r="T10" s="46">
        <v>11.4</v>
      </c>
      <c r="U10" s="31" t="s">
        <v>232</v>
      </c>
      <c r="V10" s="31" t="s">
        <v>232</v>
      </c>
      <c r="W10" s="46">
        <v>1.8</v>
      </c>
      <c r="X10" s="46" t="s">
        <v>232</v>
      </c>
      <c r="Y10" s="32">
        <f t="shared" si="2"/>
        <v>167.4</v>
      </c>
      <c r="Z10" s="32"/>
      <c r="AA10" s="46">
        <f>7.5+4.1</f>
        <v>11.6</v>
      </c>
      <c r="AB10" s="46">
        <f>0.4+0.6</f>
        <v>1</v>
      </c>
      <c r="AC10" s="31"/>
      <c r="AD10" s="31"/>
      <c r="AE10" s="46">
        <v>0.1</v>
      </c>
      <c r="AF10" s="46"/>
      <c r="AG10" s="32">
        <f t="shared" si="3"/>
        <v>12.7</v>
      </c>
      <c r="AH10" s="32"/>
      <c r="AI10" s="46">
        <f>4.1+10.8+3.7</f>
        <v>18.600000000000001</v>
      </c>
      <c r="AJ10" s="46">
        <f>0.6+5.3+0.3</f>
        <v>6.1999999999999993</v>
      </c>
      <c r="AK10" s="31"/>
      <c r="AL10" s="31"/>
      <c r="AM10" s="46">
        <f>0.1+0.5</f>
        <v>0.6</v>
      </c>
      <c r="AN10" s="46"/>
      <c r="AO10" s="32">
        <f>SUM(AI10:AJ10,AM10:AN10)</f>
        <v>25.400000000000002</v>
      </c>
      <c r="AP10" s="32"/>
      <c r="AQ10" s="31">
        <v>3.9</v>
      </c>
      <c r="AR10" s="31">
        <v>0.1</v>
      </c>
      <c r="AS10" s="31" t="s">
        <v>232</v>
      </c>
      <c r="AT10" s="31" t="s">
        <v>232</v>
      </c>
      <c r="AU10" s="31">
        <v>0</v>
      </c>
      <c r="AV10" s="31" t="s">
        <v>232</v>
      </c>
      <c r="AW10" s="32">
        <f t="shared" si="5"/>
        <v>4</v>
      </c>
      <c r="AX10" s="32"/>
      <c r="AY10" s="31">
        <f>266.005-S10-AA10-AI10-AQ10</f>
        <v>77.705000000000013</v>
      </c>
      <c r="AZ10" s="31">
        <f>18.713-T10-AB10-AJ10-AR10</f>
        <v>1.3000000000001316E-2</v>
      </c>
      <c r="BA10" s="31" t="s">
        <v>232</v>
      </c>
      <c r="BB10" s="31" t="s">
        <v>232</v>
      </c>
      <c r="BC10" s="31">
        <f>2.461-W10-AE10-AM10-AU10</f>
        <v>-3.9000000000000146E-2</v>
      </c>
      <c r="BD10" s="31" t="s">
        <v>232</v>
      </c>
      <c r="BE10" s="32">
        <f t="shared" si="50"/>
        <v>77.679000000000016</v>
      </c>
      <c r="BF10" s="32"/>
      <c r="BG10" s="10" t="str">
        <f t="shared" si="51"/>
        <v>-</v>
      </c>
      <c r="BH10" s="10" t="str">
        <f t="shared" si="6"/>
        <v>-</v>
      </c>
      <c r="BI10" s="10" t="str">
        <f t="shared" si="7"/>
        <v>-</v>
      </c>
      <c r="BJ10" s="10" t="str">
        <f t="shared" si="7"/>
        <v>-</v>
      </c>
      <c r="BK10" s="10">
        <f t="shared" si="7"/>
        <v>1181</v>
      </c>
      <c r="BM10" s="10" t="str">
        <f t="shared" si="8"/>
        <v>-</v>
      </c>
      <c r="BN10" s="10" t="str">
        <f t="shared" si="8"/>
        <v>-</v>
      </c>
      <c r="BO10" s="10" t="str">
        <f t="shared" si="9"/>
        <v>-</v>
      </c>
      <c r="BP10" s="10" t="str">
        <f t="shared" si="9"/>
        <v>-</v>
      </c>
      <c r="BQ10" s="10">
        <f t="shared" si="9"/>
        <v>1181</v>
      </c>
      <c r="BS10" s="34"/>
      <c r="BT10" s="34"/>
      <c r="BU10" s="34"/>
      <c r="BV10" s="34"/>
      <c r="BW10" s="34"/>
      <c r="BX10" s="34"/>
      <c r="BY10" s="32">
        <f>286</f>
        <v>286</v>
      </c>
      <c r="BZ10" s="32"/>
      <c r="CA10" s="34"/>
      <c r="CB10" s="34"/>
      <c r="CC10" s="34"/>
      <c r="CD10" s="34"/>
      <c r="CE10" s="34"/>
      <c r="CF10" s="34"/>
      <c r="CG10" s="32">
        <f>106+281</f>
        <v>387</v>
      </c>
      <c r="CH10" s="32"/>
      <c r="CI10" s="34"/>
      <c r="CJ10" s="34"/>
      <c r="CK10" s="34"/>
      <c r="CL10" s="34"/>
      <c r="CM10" s="34"/>
      <c r="CN10" s="34"/>
      <c r="CO10" s="32">
        <f>89+62+335</f>
        <v>486</v>
      </c>
      <c r="CP10" s="32"/>
      <c r="CQ10" s="34"/>
      <c r="CR10" s="34"/>
      <c r="CS10" s="34"/>
      <c r="CT10" s="34"/>
      <c r="CU10" s="34"/>
      <c r="CV10" s="34"/>
      <c r="CW10" s="49">
        <v>22</v>
      </c>
      <c r="CX10" s="32"/>
      <c r="CY10" s="31" t="s">
        <v>232</v>
      </c>
      <c r="CZ10" s="31" t="s">
        <v>232</v>
      </c>
      <c r="DA10" s="31" t="s">
        <v>232</v>
      </c>
      <c r="DB10" s="31" t="s">
        <v>232</v>
      </c>
      <c r="DC10" s="31" t="s">
        <v>232</v>
      </c>
      <c r="DD10" s="31" t="s">
        <v>232</v>
      </c>
      <c r="DE10" s="49">
        <f t="shared" si="12"/>
        <v>0</v>
      </c>
      <c r="DF10" s="32"/>
      <c r="DG10" s="36">
        <f t="shared" si="13"/>
        <v>0.89880668257756557</v>
      </c>
      <c r="DH10" s="36">
        <f t="shared" si="13"/>
        <v>8.9260143198090711E-2</v>
      </c>
      <c r="DI10" s="36">
        <f t="shared" si="14"/>
        <v>1.1933174224343675E-2</v>
      </c>
      <c r="DJ10" s="36" t="str">
        <f t="shared" si="14"/>
        <v>-</v>
      </c>
      <c r="DK10" s="32"/>
      <c r="DL10" s="37">
        <f t="shared" si="15"/>
        <v>0.92114695340501784</v>
      </c>
      <c r="DM10" s="37">
        <f t="shared" si="15"/>
        <v>6.8100358422939072E-2</v>
      </c>
      <c r="DN10" s="37">
        <f t="shared" si="16"/>
        <v>1.075268817204301E-2</v>
      </c>
      <c r="DO10" s="37" t="str">
        <f t="shared" si="16"/>
        <v>-</v>
      </c>
      <c r="DP10" s="32"/>
      <c r="DQ10" s="37">
        <f t="shared" si="17"/>
        <v>0.91338582677165359</v>
      </c>
      <c r="DR10" s="37">
        <f t="shared" si="17"/>
        <v>7.874015748031496E-2</v>
      </c>
      <c r="DS10" s="37">
        <f t="shared" si="18"/>
        <v>7.8740157480314977E-3</v>
      </c>
      <c r="DT10" s="37" t="str">
        <f t="shared" si="18"/>
        <v>-</v>
      </c>
      <c r="DU10" s="32"/>
      <c r="DV10" s="37">
        <f t="shared" si="19"/>
        <v>0.73228346456692917</v>
      </c>
      <c r="DW10" s="37">
        <f t="shared" si="19"/>
        <v>0.24409448818897633</v>
      </c>
      <c r="DX10" s="37">
        <f t="shared" si="20"/>
        <v>2.3622047244094484E-2</v>
      </c>
      <c r="DY10" s="37" t="str">
        <f t="shared" si="20"/>
        <v>-</v>
      </c>
      <c r="DZ10" s="32"/>
      <c r="EA10" s="37">
        <f t="shared" si="21"/>
        <v>0.97499999999999998</v>
      </c>
      <c r="EB10" s="37">
        <f t="shared" si="21"/>
        <v>2.5000000000000001E-2</v>
      </c>
      <c r="EC10" s="37" t="str">
        <f t="shared" si="22"/>
        <v>-</v>
      </c>
      <c r="ED10" s="37" t="str">
        <f t="shared" si="22"/>
        <v>-</v>
      </c>
      <c r="EE10" s="32"/>
      <c r="EF10" s="38" t="str">
        <f t="shared" si="23"/>
        <v>-</v>
      </c>
      <c r="EG10" s="38">
        <f t="shared" si="24"/>
        <v>0</v>
      </c>
      <c r="EH10" s="38">
        <f t="shared" si="25"/>
        <v>0</v>
      </c>
      <c r="EI10" s="38" t="str">
        <f t="shared" si="26"/>
        <v>-</v>
      </c>
      <c r="EJ10" s="38" t="str">
        <f t="shared" si="27"/>
        <v>-</v>
      </c>
      <c r="EK10" s="32"/>
      <c r="EL10" s="39" t="str">
        <f t="shared" si="28"/>
        <v>-</v>
      </c>
      <c r="EM10" s="39" t="str">
        <f t="shared" si="28"/>
        <v>-</v>
      </c>
      <c r="EN10" s="39" t="str">
        <f t="shared" si="29"/>
        <v>-</v>
      </c>
      <c r="EO10" s="39" t="str">
        <f t="shared" si="29"/>
        <v>-</v>
      </c>
      <c r="EP10" s="39">
        <f t="shared" si="29"/>
        <v>5.6372315035799515E-3</v>
      </c>
      <c r="ER10" s="39" t="str">
        <f t="shared" si="30"/>
        <v>-</v>
      </c>
      <c r="ES10" s="40" t="str">
        <f t="shared" si="30"/>
        <v>-</v>
      </c>
      <c r="ET10" s="40" t="str">
        <f t="shared" si="31"/>
        <v>-</v>
      </c>
      <c r="EU10" s="40" t="str">
        <f t="shared" si="31"/>
        <v>-</v>
      </c>
      <c r="EV10" s="40">
        <f t="shared" si="31"/>
        <v>1.7084826762246118E-3</v>
      </c>
      <c r="EW10" s="32"/>
      <c r="EX10" s="39" t="str">
        <f t="shared" si="32"/>
        <v>-</v>
      </c>
      <c r="EY10" s="40" t="str">
        <f t="shared" si="32"/>
        <v>-</v>
      </c>
      <c r="EZ10" s="40" t="str">
        <f t="shared" si="33"/>
        <v>-</v>
      </c>
      <c r="FA10" s="40" t="str">
        <f t="shared" si="33"/>
        <v>-</v>
      </c>
      <c r="FB10" s="40">
        <f t="shared" si="33"/>
        <v>3.0472440944881891E-2</v>
      </c>
      <c r="FC10" s="32"/>
      <c r="FD10" s="39" t="str">
        <f t="shared" si="34"/>
        <v>-</v>
      </c>
      <c r="FE10" s="40" t="str">
        <f t="shared" si="34"/>
        <v>-</v>
      </c>
      <c r="FF10" s="40" t="str">
        <f t="shared" si="35"/>
        <v>-</v>
      </c>
      <c r="FG10" s="40" t="str">
        <f t="shared" si="35"/>
        <v>-</v>
      </c>
      <c r="FH10" s="40">
        <f t="shared" si="35"/>
        <v>1.9133858267716533E-2</v>
      </c>
      <c r="FI10" s="32"/>
      <c r="FJ10" s="39" t="str">
        <f t="shared" si="36"/>
        <v>-</v>
      </c>
      <c r="FK10" s="39" t="str">
        <f t="shared" si="36"/>
        <v>-</v>
      </c>
      <c r="FL10" s="39" t="str">
        <f t="shared" si="37"/>
        <v>-</v>
      </c>
      <c r="FM10" s="39" t="str">
        <f t="shared" si="37"/>
        <v>-</v>
      </c>
      <c r="FN10" s="39">
        <f t="shared" si="37"/>
        <v>5.4999999999999997E-3</v>
      </c>
      <c r="FP10" s="31">
        <v>247</v>
      </c>
      <c r="FQ10" s="31">
        <v>0</v>
      </c>
      <c r="FR10" s="31">
        <f>106+12</f>
        <v>118</v>
      </c>
      <c r="FS10" s="31">
        <v>11</v>
      </c>
      <c r="FT10" s="42">
        <f>SUM(FP10:FS10)</f>
        <v>376</v>
      </c>
      <c r="FV10" s="43">
        <f t="shared" si="39"/>
        <v>1.4755077658303464E-3</v>
      </c>
      <c r="FW10" s="43" t="str">
        <f t="shared" si="40"/>
        <v>-</v>
      </c>
      <c r="FX10" s="43">
        <f t="shared" si="41"/>
        <v>4.6456692913385824E-3</v>
      </c>
      <c r="FY10" s="43">
        <f t="shared" si="42"/>
        <v>2.7499999999999998E-3</v>
      </c>
      <c r="FZ10" s="43">
        <f t="shared" si="43"/>
        <v>1.7947494033412888E-3</v>
      </c>
      <c r="GB10" s="41">
        <v>-7</v>
      </c>
      <c r="GC10" s="41">
        <f>-(13+69)</f>
        <v>-82</v>
      </c>
      <c r="GD10" s="41">
        <f>-(12+22)</f>
        <v>-34</v>
      </c>
      <c r="GE10" s="41">
        <v>0</v>
      </c>
      <c r="GF10" s="28">
        <f t="shared" si="44"/>
        <v>-123</v>
      </c>
      <c r="GH10" s="43">
        <f t="shared" si="45"/>
        <v>-4.181600955794504E-5</v>
      </c>
      <c r="GI10" s="43">
        <f t="shared" si="46"/>
        <v>-6.456692913385827E-3</v>
      </c>
      <c r="GJ10" s="43">
        <f t="shared" si="47"/>
        <v>-1.3385826771653542E-3</v>
      </c>
      <c r="GK10" s="43" t="str">
        <f t="shared" si="48"/>
        <v>-</v>
      </c>
      <c r="GL10" s="43">
        <f t="shared" si="49"/>
        <v>-5.8711217183770876E-4</v>
      </c>
      <c r="GN10" s="42">
        <f t="shared" si="54"/>
        <v>0</v>
      </c>
      <c r="GO10">
        <f t="shared" si="55"/>
        <v>284718</v>
      </c>
    </row>
    <row r="11" spans="1:197" ht="17.45" customHeight="1" x14ac:dyDescent="0.25">
      <c r="A11" s="29" t="s">
        <v>234</v>
      </c>
      <c r="B11" s="29"/>
      <c r="C11" s="10">
        <f t="shared" si="0"/>
        <v>179.88</v>
      </c>
      <c r="D11" s="10">
        <f t="shared" si="0"/>
        <v>9.3059999999999992</v>
      </c>
      <c r="E11" s="10">
        <f t="shared" si="0"/>
        <v>7.0330000000000004</v>
      </c>
      <c r="F11" s="10">
        <f t="shared" si="0"/>
        <v>0.48</v>
      </c>
      <c r="G11" s="10">
        <f t="shared" si="0"/>
        <v>1.581</v>
      </c>
      <c r="H11" s="10">
        <f t="shared" si="0"/>
        <v>0.16700000000000001</v>
      </c>
      <c r="I11" s="10">
        <f t="shared" si="0"/>
        <v>190.934</v>
      </c>
      <c r="K11" s="10">
        <f t="shared" si="1"/>
        <v>179.88</v>
      </c>
      <c r="L11" s="10">
        <f t="shared" si="1"/>
        <v>9.3059999999999992</v>
      </c>
      <c r="M11" s="10">
        <f t="shared" si="1"/>
        <v>7.0330000000000004</v>
      </c>
      <c r="N11" s="10">
        <f t="shared" si="1"/>
        <v>0.48</v>
      </c>
      <c r="O11" s="10">
        <f t="shared" si="1"/>
        <v>1.581</v>
      </c>
      <c r="P11" s="10">
        <f t="shared" si="1"/>
        <v>0.16700000000000001</v>
      </c>
      <c r="Q11" s="10">
        <f t="shared" si="1"/>
        <v>190.934</v>
      </c>
      <c r="R11" s="30"/>
      <c r="S11" s="46">
        <f>'[3]1Q20'!S13</f>
        <v>176.023</v>
      </c>
      <c r="T11" s="46">
        <f>'[3]1Q20'!T13</f>
        <v>8.4789999999999992</v>
      </c>
      <c r="U11" s="46">
        <f>'[3]1Q20'!U13</f>
        <v>7.0330000000000004</v>
      </c>
      <c r="V11" s="46">
        <f>'[3]1Q20'!V13</f>
        <v>0.48</v>
      </c>
      <c r="W11" s="46">
        <f>'[3]1Q20'!W13</f>
        <v>1.2709999999999999</v>
      </c>
      <c r="X11" s="46">
        <f>'[3]1Q20'!X13</f>
        <v>0.16700000000000001</v>
      </c>
      <c r="Y11" s="32">
        <f t="shared" si="2"/>
        <v>185.94</v>
      </c>
      <c r="Z11" s="32"/>
      <c r="AA11" s="46">
        <f>'[3]1Q20'!AA13</f>
        <v>3.8570000000000002</v>
      </c>
      <c r="AB11" s="46">
        <f>'[3]1Q20'!AB13</f>
        <v>0.82699999999999996</v>
      </c>
      <c r="AC11" s="46">
        <f>'[3]1Q20'!AC13</f>
        <v>0</v>
      </c>
      <c r="AD11" s="46">
        <f>'[3]1Q20'!AD13</f>
        <v>0</v>
      </c>
      <c r="AE11" s="46">
        <f>'[3]1Q20'!AE13</f>
        <v>0.31</v>
      </c>
      <c r="AF11" s="46">
        <f>'[3]1Q20'!AF13</f>
        <v>0</v>
      </c>
      <c r="AG11" s="32">
        <f t="shared" si="3"/>
        <v>4.9939999999999998</v>
      </c>
      <c r="AH11" s="32"/>
      <c r="AI11" s="46">
        <f>'[3]1Q20'!AI13</f>
        <v>0</v>
      </c>
      <c r="AJ11" s="46">
        <f>'[3]1Q20'!AJ13</f>
        <v>0</v>
      </c>
      <c r="AK11" s="46">
        <f>'[3]1Q20'!AK13</f>
        <v>0</v>
      </c>
      <c r="AL11" s="46">
        <f>'[3]1Q20'!AL13</f>
        <v>0</v>
      </c>
      <c r="AM11" s="46">
        <f>'[3]1Q20'!AM13</f>
        <v>0</v>
      </c>
      <c r="AN11" s="46">
        <f>'[3]1Q20'!AN13</f>
        <v>0</v>
      </c>
      <c r="AO11" s="32">
        <f t="shared" si="4"/>
        <v>0</v>
      </c>
      <c r="AP11" s="32"/>
      <c r="AQ11" s="34">
        <f>'[3]1Q20'!AQ13</f>
        <v>0</v>
      </c>
      <c r="AR11" s="34">
        <f>'[3]1Q20'!AR13</f>
        <v>0</v>
      </c>
      <c r="AS11" s="34">
        <f>'[3]1Q20'!AS13</f>
        <v>0</v>
      </c>
      <c r="AT11" s="34">
        <f>'[3]1Q20'!AT13</f>
        <v>0</v>
      </c>
      <c r="AU11" s="34">
        <f>'[3]1Q20'!AU13</f>
        <v>0</v>
      </c>
      <c r="AV11" s="34">
        <f>'[3]1Q20'!AV13</f>
        <v>0</v>
      </c>
      <c r="AW11" s="32">
        <f t="shared" si="5"/>
        <v>0</v>
      </c>
      <c r="AX11" s="32"/>
      <c r="AY11" s="31" t="s">
        <v>232</v>
      </c>
      <c r="AZ11" s="31" t="s">
        <v>232</v>
      </c>
      <c r="BA11" s="31" t="s">
        <v>232</v>
      </c>
      <c r="BB11" s="31" t="s">
        <v>232</v>
      </c>
      <c r="BC11" s="31" t="s">
        <v>232</v>
      </c>
      <c r="BD11" s="31" t="s">
        <v>232</v>
      </c>
      <c r="BE11" s="32">
        <f t="shared" si="50"/>
        <v>0</v>
      </c>
      <c r="BF11" s="32"/>
      <c r="BG11" s="10">
        <f t="shared" si="51"/>
        <v>88.836615150412015</v>
      </c>
      <c r="BH11" s="10">
        <f t="shared" si="6"/>
        <v>314.79624052685574</v>
      </c>
      <c r="BI11" s="10">
        <f t="shared" si="7"/>
        <v>383.62087566601582</v>
      </c>
      <c r="BJ11" s="10" t="str">
        <f t="shared" si="7"/>
        <v>-</v>
      </c>
      <c r="BK11" s="10">
        <f t="shared" si="7"/>
        <v>786.25373134328356</v>
      </c>
      <c r="BM11" s="10">
        <f t="shared" si="8"/>
        <v>88.836615150412015</v>
      </c>
      <c r="BN11" s="10">
        <f t="shared" si="8"/>
        <v>314.79624052685574</v>
      </c>
      <c r="BO11" s="10">
        <f t="shared" si="9"/>
        <v>383.62087566601582</v>
      </c>
      <c r="BP11" s="10" t="str">
        <f t="shared" si="9"/>
        <v>-</v>
      </c>
      <c r="BQ11" s="10">
        <f t="shared" si="9"/>
        <v>786.25373134328356</v>
      </c>
      <c r="BS11" s="46">
        <f>'[3]1Q20'!BS13</f>
        <v>50.149253731343286</v>
      </c>
      <c r="BT11" s="46">
        <f>'[3]1Q20'!BT13</f>
        <v>156.71641791044777</v>
      </c>
      <c r="BU11" s="46" t="str">
        <f>'[3]1Q20'!BU13</f>
        <v>N/A</v>
      </c>
      <c r="BV11" s="46" t="str">
        <f>'[3]1Q20'!BV13</f>
        <v>N/A</v>
      </c>
      <c r="BW11" s="46">
        <f>'[3]1Q20'!BW13</f>
        <v>46.388059701492537</v>
      </c>
      <c r="BX11" s="46">
        <f>'[3]1Q20'!BX13</f>
        <v>-1</v>
      </c>
      <c r="BY11" s="32">
        <f>SUM(BS11:BT11,BW11:BX11)</f>
        <v>252.25373134328362</v>
      </c>
      <c r="BZ11" s="32"/>
      <c r="CA11" s="46">
        <f>'[3]1Q20'!CA13</f>
        <v>35.050997782705096</v>
      </c>
      <c r="CB11" s="46">
        <f>'[3]1Q20'!CB13</f>
        <v>154.44345898004434</v>
      </c>
      <c r="CC11" s="46">
        <f>'[3]1Q20'!CC13</f>
        <v>0</v>
      </c>
      <c r="CD11" s="46">
        <f>'[3]1Q20'!CD13</f>
        <v>0</v>
      </c>
      <c r="CE11" s="46">
        <f>'[3]1Q20'!CE13</f>
        <v>304.50554323725055</v>
      </c>
      <c r="CF11" s="46">
        <f>'[3]1Q20'!CF13</f>
        <v>0</v>
      </c>
      <c r="CG11" s="32">
        <f t="shared" si="53"/>
        <v>494</v>
      </c>
      <c r="CH11" s="32"/>
      <c r="CI11" s="46">
        <f>'[3]1Q20'!CI13</f>
        <v>3.6363636363636362</v>
      </c>
      <c r="CJ11" s="46">
        <f>'[3]1Q20'!CJ13</f>
        <v>3.6363636363636362</v>
      </c>
      <c r="CK11" s="46">
        <f>'[3]1Q20'!CK13</f>
        <v>0</v>
      </c>
      <c r="CL11" s="46">
        <f>'[3]1Q20'!CL13</f>
        <v>0</v>
      </c>
      <c r="CM11" s="46">
        <f>'[3]1Q20'!CM13</f>
        <v>32.727272727272727</v>
      </c>
      <c r="CN11" s="46">
        <f>'[3]1Q20'!CN13</f>
        <v>0</v>
      </c>
      <c r="CO11" s="32">
        <f t="shared" si="10"/>
        <v>40</v>
      </c>
      <c r="CP11" s="32"/>
      <c r="CQ11" s="34">
        <f>'[3]1Q20'!CQ13</f>
        <v>0</v>
      </c>
      <c r="CR11" s="34">
        <f>'[3]1Q20'!CR13</f>
        <v>0</v>
      </c>
      <c r="CS11" s="34" t="s">
        <v>232</v>
      </c>
      <c r="CT11" s="34" t="s">
        <v>232</v>
      </c>
      <c r="CU11" s="34" t="s">
        <v>232</v>
      </c>
      <c r="CV11" s="34" t="s">
        <v>232</v>
      </c>
      <c r="CW11" s="32">
        <f>SUM(CQ11:CR11,CU11:CV11)</f>
        <v>0</v>
      </c>
      <c r="CX11" s="32"/>
      <c r="CY11" s="31" t="s">
        <v>232</v>
      </c>
      <c r="CZ11" s="31" t="s">
        <v>232</v>
      </c>
      <c r="DA11" s="31" t="s">
        <v>232</v>
      </c>
      <c r="DB11" s="31" t="s">
        <v>232</v>
      </c>
      <c r="DC11" s="31" t="s">
        <v>232</v>
      </c>
      <c r="DD11" s="31" t="s">
        <v>232</v>
      </c>
      <c r="DE11" s="32">
        <f t="shared" si="12"/>
        <v>0</v>
      </c>
      <c r="DF11" s="32"/>
      <c r="DG11" s="36">
        <f t="shared" si="13"/>
        <v>0.94210564907245431</v>
      </c>
      <c r="DH11" s="36">
        <f t="shared" si="13"/>
        <v>4.8739354960352789E-2</v>
      </c>
      <c r="DI11" s="36">
        <f t="shared" si="14"/>
        <v>8.2803481831418193E-3</v>
      </c>
      <c r="DJ11" s="36">
        <f t="shared" si="14"/>
        <v>8.746477840510334E-4</v>
      </c>
      <c r="DK11" s="32"/>
      <c r="DL11" s="37">
        <f t="shared" si="15"/>
        <v>0.94666559105087666</v>
      </c>
      <c r="DM11" s="37">
        <f t="shared" si="15"/>
        <v>4.5600731418737224E-2</v>
      </c>
      <c r="DN11" s="37">
        <f t="shared" si="16"/>
        <v>6.8355383457029146E-3</v>
      </c>
      <c r="DO11" s="37">
        <f t="shared" si="16"/>
        <v>8.9813918468323122E-4</v>
      </c>
      <c r="DP11" s="32"/>
      <c r="DQ11" s="37">
        <f t="shared" si="17"/>
        <v>0.77232679215058075</v>
      </c>
      <c r="DR11" s="37">
        <f t="shared" si="17"/>
        <v>0.1655987184621546</v>
      </c>
      <c r="DS11" s="37">
        <f t="shared" si="18"/>
        <v>6.2074489387264717E-2</v>
      </c>
      <c r="DT11" s="37" t="str">
        <f t="shared" si="18"/>
        <v>-</v>
      </c>
      <c r="DU11" s="32"/>
      <c r="DV11" s="37" t="str">
        <f t="shared" si="19"/>
        <v>-</v>
      </c>
      <c r="DW11" s="37" t="str">
        <f t="shared" si="19"/>
        <v>-</v>
      </c>
      <c r="DX11" s="37" t="str">
        <f t="shared" si="20"/>
        <v>-</v>
      </c>
      <c r="DY11" s="37" t="str">
        <f t="shared" si="20"/>
        <v>-</v>
      </c>
      <c r="DZ11" s="32"/>
      <c r="EA11" s="37" t="str">
        <f t="shared" si="21"/>
        <v>-</v>
      </c>
      <c r="EB11" s="37" t="str">
        <f t="shared" si="21"/>
        <v>-</v>
      </c>
      <c r="EC11" s="37" t="str">
        <f t="shared" si="22"/>
        <v>-</v>
      </c>
      <c r="ED11" s="37" t="str">
        <f t="shared" si="22"/>
        <v>-</v>
      </c>
      <c r="EE11" s="32"/>
      <c r="EF11" s="38">
        <f t="shared" si="23"/>
        <v>5.6610449345441682E-2</v>
      </c>
      <c r="EG11" s="38">
        <f t="shared" si="24"/>
        <v>0</v>
      </c>
      <c r="EH11" s="38" t="str">
        <f t="shared" si="25"/>
        <v>-</v>
      </c>
      <c r="EI11" s="38" t="str">
        <f t="shared" si="26"/>
        <v>-</v>
      </c>
      <c r="EJ11" s="38">
        <f t="shared" si="27"/>
        <v>5.1579626047711158E-2</v>
      </c>
      <c r="EK11" s="32"/>
      <c r="EL11" s="39">
        <f t="shared" si="28"/>
        <v>4.9386599483217705E-4</v>
      </c>
      <c r="EM11" s="39">
        <f t="shared" si="28"/>
        <v>3.3827234099167824E-2</v>
      </c>
      <c r="EN11" s="39">
        <f t="shared" si="29"/>
        <v>0.24264445013663241</v>
      </c>
      <c r="EO11" s="39" t="str">
        <f t="shared" si="29"/>
        <v>-</v>
      </c>
      <c r="EP11" s="39">
        <f t="shared" si="29"/>
        <v>4.1179346336602364E-3</v>
      </c>
      <c r="ER11" s="39">
        <f t="shared" si="30"/>
        <v>2.8490171018186997E-4</v>
      </c>
      <c r="ES11" s="40">
        <f t="shared" si="30"/>
        <v>1.8482889245246822E-2</v>
      </c>
      <c r="ET11" s="40">
        <f t="shared" si="31"/>
        <v>3.6497293234848578E-2</v>
      </c>
      <c r="EU11" s="40" t="str">
        <f t="shared" si="31"/>
        <v>-</v>
      </c>
      <c r="EV11" s="40">
        <f t="shared" si="31"/>
        <v>1.3566404826464646E-3</v>
      </c>
      <c r="EW11" s="32"/>
      <c r="EX11" s="39">
        <f t="shared" si="32"/>
        <v>9.087632300416152E-3</v>
      </c>
      <c r="EY11" s="40">
        <f t="shared" si="32"/>
        <v>0.1867514618863898</v>
      </c>
      <c r="EZ11" s="40">
        <f t="shared" si="33"/>
        <v>0.98227594592661471</v>
      </c>
      <c r="FA11" s="40" t="str">
        <f t="shared" si="33"/>
        <v>-</v>
      </c>
      <c r="FB11" s="40">
        <f t="shared" si="33"/>
        <v>9.8918702442931522E-2</v>
      </c>
      <c r="FC11" s="32"/>
      <c r="FD11" s="39" t="str">
        <f t="shared" si="34"/>
        <v>-</v>
      </c>
      <c r="FE11" s="40" t="str">
        <f t="shared" si="34"/>
        <v>-</v>
      </c>
      <c r="FF11" s="40" t="str">
        <f t="shared" si="35"/>
        <v>-</v>
      </c>
      <c r="FG11" s="40" t="str">
        <f t="shared" si="35"/>
        <v>-</v>
      </c>
      <c r="FH11" s="40" t="str">
        <f t="shared" si="35"/>
        <v>-</v>
      </c>
      <c r="FI11" s="32"/>
      <c r="FJ11" s="39" t="str">
        <f t="shared" si="36"/>
        <v>-</v>
      </c>
      <c r="FK11" s="39" t="str">
        <f t="shared" si="36"/>
        <v>-</v>
      </c>
      <c r="FL11" s="39" t="str">
        <f t="shared" si="37"/>
        <v>-</v>
      </c>
      <c r="FM11" s="39" t="str">
        <f t="shared" si="37"/>
        <v>-</v>
      </c>
      <c r="FN11" s="39" t="str">
        <f t="shared" si="37"/>
        <v>-</v>
      </c>
      <c r="FP11" s="41">
        <f>'[3]1Q20'!FP13</f>
        <v>53</v>
      </c>
      <c r="FQ11" s="41">
        <f>'[3]1Q20'!FQ13</f>
        <v>159</v>
      </c>
      <c r="FR11" s="41">
        <f>'[3]1Q20'!FR13</f>
        <v>-3</v>
      </c>
      <c r="FS11" s="41">
        <f>'[3]1Q20'!FS13</f>
        <v>0</v>
      </c>
      <c r="FT11" s="42">
        <f t="shared" si="38"/>
        <v>209</v>
      </c>
      <c r="FV11" s="43">
        <f t="shared" si="39"/>
        <v>2.8503818436054641E-4</v>
      </c>
      <c r="FW11" s="43">
        <f t="shared" si="40"/>
        <v>3.1838205847016424E-2</v>
      </c>
      <c r="FX11" s="43" t="str">
        <f t="shared" si="41"/>
        <v>-</v>
      </c>
      <c r="FY11" s="43" t="str">
        <f t="shared" si="42"/>
        <v>-</v>
      </c>
      <c r="FZ11" s="43">
        <f t="shared" si="43"/>
        <v>1.0946190830339281E-3</v>
      </c>
      <c r="GB11" s="41"/>
      <c r="GC11" s="41"/>
      <c r="GD11" s="41"/>
      <c r="GE11" s="41"/>
      <c r="GF11" s="28" t="str">
        <f t="shared" si="44"/>
        <v>-</v>
      </c>
      <c r="GH11" s="43" t="str">
        <f t="shared" si="45"/>
        <v>-</v>
      </c>
      <c r="GI11" s="43" t="str">
        <f t="shared" si="46"/>
        <v>-</v>
      </c>
      <c r="GJ11" s="43" t="str">
        <f t="shared" si="47"/>
        <v>-</v>
      </c>
      <c r="GK11" s="43" t="str">
        <f t="shared" si="48"/>
        <v>-</v>
      </c>
      <c r="GL11" s="43" t="str">
        <f t="shared" si="49"/>
        <v>-</v>
      </c>
      <c r="GN11" s="42">
        <f t="shared" si="54"/>
        <v>403.63285567726774</v>
      </c>
      <c r="GO11">
        <f t="shared" si="55"/>
        <v>189186</v>
      </c>
    </row>
    <row r="12" spans="1:197" x14ac:dyDescent="0.25">
      <c r="A12" s="29" t="s">
        <v>251</v>
      </c>
      <c r="B12" s="29"/>
      <c r="C12" s="10">
        <f t="shared" si="0"/>
        <v>191.63900000000001</v>
      </c>
      <c r="D12" s="10">
        <f t="shared" si="0"/>
        <v>68.272000000000006</v>
      </c>
      <c r="E12" s="10" t="str">
        <f t="shared" si="0"/>
        <v>-</v>
      </c>
      <c r="F12" s="10" t="str">
        <f t="shared" si="0"/>
        <v>-</v>
      </c>
      <c r="G12" s="10">
        <f t="shared" si="0"/>
        <v>3.5129999999999999</v>
      </c>
      <c r="H12" s="10" t="str">
        <f t="shared" si="0"/>
        <v>-</v>
      </c>
      <c r="I12" s="10">
        <f t="shared" si="0"/>
        <v>263.42400000000004</v>
      </c>
      <c r="K12" s="10">
        <f t="shared" si="1"/>
        <v>191.63900000000001</v>
      </c>
      <c r="L12" s="10">
        <f t="shared" si="1"/>
        <v>68.272000000000006</v>
      </c>
      <c r="M12" s="10" t="str">
        <f t="shared" si="1"/>
        <v>-</v>
      </c>
      <c r="N12" s="10" t="str">
        <f t="shared" si="1"/>
        <v>-</v>
      </c>
      <c r="O12" s="10">
        <f t="shared" si="1"/>
        <v>3.5129999999999999</v>
      </c>
      <c r="P12" s="10" t="str">
        <f t="shared" si="1"/>
        <v>-</v>
      </c>
      <c r="Q12" s="10">
        <f t="shared" si="1"/>
        <v>263.42400000000004</v>
      </c>
      <c r="R12" s="30"/>
      <c r="S12" s="10">
        <v>124.795</v>
      </c>
      <c r="T12" s="10">
        <v>20.300999999999998</v>
      </c>
      <c r="U12" s="10"/>
      <c r="V12" s="31"/>
      <c r="W12" s="31">
        <v>1.012</v>
      </c>
      <c r="X12" s="31">
        <v>0</v>
      </c>
      <c r="Y12" s="32">
        <f t="shared" si="2"/>
        <v>146.108</v>
      </c>
      <c r="Z12" s="32"/>
      <c r="AA12" s="31">
        <f>1.737+4.72</f>
        <v>6.4569999999999999</v>
      </c>
      <c r="AB12" s="31">
        <f>1+2.502</f>
        <v>3.5019999999999998</v>
      </c>
      <c r="AC12" s="31"/>
      <c r="AD12" s="31"/>
      <c r="AE12" s="31">
        <f>0.078+0.566</f>
        <v>0.64399999999999991</v>
      </c>
      <c r="AF12" s="31">
        <v>0</v>
      </c>
      <c r="AG12" s="50">
        <f t="shared" si="3"/>
        <v>10.603</v>
      </c>
      <c r="AH12" s="32"/>
      <c r="AI12" s="31">
        <f>60.387-21.6-3.192</f>
        <v>35.594999999999999</v>
      </c>
      <c r="AJ12" s="31">
        <f>44.469-2.038</f>
        <v>42.431000000000004</v>
      </c>
      <c r="AK12" s="31"/>
      <c r="AL12" s="31"/>
      <c r="AM12" s="31">
        <f>1.857-0.004</f>
        <v>1.853</v>
      </c>
      <c r="AN12" s="31"/>
      <c r="AO12" s="32">
        <f t="shared" si="4"/>
        <v>79.879000000000005</v>
      </c>
      <c r="AP12" s="32"/>
      <c r="AQ12" s="31">
        <f>21.6+3.192</f>
        <v>24.792000000000002</v>
      </c>
      <c r="AR12" s="31">
        <v>2.0379999999999998</v>
      </c>
      <c r="AS12" s="31"/>
      <c r="AT12" s="31"/>
      <c r="AU12" s="31">
        <v>4.0000000000000001E-3</v>
      </c>
      <c r="AV12" s="31">
        <v>0</v>
      </c>
      <c r="AW12" s="32">
        <f t="shared" si="5"/>
        <v>26.834000000000003</v>
      </c>
      <c r="AX12" s="32"/>
      <c r="AY12" s="31" t="s">
        <v>232</v>
      </c>
      <c r="AZ12" s="31" t="s">
        <v>232</v>
      </c>
      <c r="BA12" s="31" t="s">
        <v>232</v>
      </c>
      <c r="BB12" s="31" t="s">
        <v>232</v>
      </c>
      <c r="BC12" s="31" t="s">
        <v>232</v>
      </c>
      <c r="BD12" s="31" t="s">
        <v>232</v>
      </c>
      <c r="BE12" s="32">
        <f t="shared" si="50"/>
        <v>0</v>
      </c>
      <c r="BF12" s="32"/>
      <c r="BG12" s="10">
        <f t="shared" si="51"/>
        <v>309</v>
      </c>
      <c r="BH12" s="10">
        <f t="shared" si="6"/>
        <v>2045</v>
      </c>
      <c r="BI12" s="10">
        <f t="shared" si="7"/>
        <v>1444</v>
      </c>
      <c r="BJ12" s="10" t="str">
        <f t="shared" si="7"/>
        <v>-</v>
      </c>
      <c r="BK12" s="10">
        <f t="shared" si="7"/>
        <v>3798</v>
      </c>
      <c r="BM12" s="10">
        <f t="shared" si="8"/>
        <v>309</v>
      </c>
      <c r="BN12" s="10">
        <f t="shared" si="8"/>
        <v>2045</v>
      </c>
      <c r="BO12" s="10">
        <f t="shared" si="9"/>
        <v>1444</v>
      </c>
      <c r="BP12" s="10" t="str">
        <f t="shared" si="9"/>
        <v>-</v>
      </c>
      <c r="BQ12" s="10">
        <f t="shared" si="9"/>
        <v>3798</v>
      </c>
      <c r="BS12" s="31">
        <v>15</v>
      </c>
      <c r="BT12" s="31">
        <v>148</v>
      </c>
      <c r="BU12" s="31"/>
      <c r="BV12" s="31"/>
      <c r="BW12" s="31">
        <v>150</v>
      </c>
      <c r="BX12" s="31"/>
      <c r="BY12" s="32">
        <f>SUM(BS12:BT12,BW12:BX12)</f>
        <v>313</v>
      </c>
      <c r="BZ12" s="32"/>
      <c r="CA12" s="46">
        <f>34+80</f>
        <v>114</v>
      </c>
      <c r="CB12" s="46">
        <f>195+387</f>
        <v>582</v>
      </c>
      <c r="CC12" s="31"/>
      <c r="CD12" s="31"/>
      <c r="CE12" s="46">
        <f>62+476</f>
        <v>538</v>
      </c>
      <c r="CF12" s="31"/>
      <c r="CG12" s="32">
        <f>SUM(CA12:CB12,CE12:CF12)</f>
        <v>1234</v>
      </c>
      <c r="CH12" s="32"/>
      <c r="CI12" s="46">
        <f>180-8-5</f>
        <v>167</v>
      </c>
      <c r="CJ12" s="46">
        <f>1315-31</f>
        <v>1284</v>
      </c>
      <c r="CK12" s="31"/>
      <c r="CL12" s="31"/>
      <c r="CM12" s="46">
        <f>756-2</f>
        <v>754</v>
      </c>
      <c r="CN12" s="31"/>
      <c r="CO12" s="32">
        <f>SUM(CI12:CJ12,CM12:CN12)</f>
        <v>2205</v>
      </c>
      <c r="CP12" s="32"/>
      <c r="CQ12" s="46">
        <f>8+5</f>
        <v>13</v>
      </c>
      <c r="CR12" s="46">
        <v>31</v>
      </c>
      <c r="CS12" s="31"/>
      <c r="CT12" s="31"/>
      <c r="CU12" s="46">
        <v>2</v>
      </c>
      <c r="CV12" s="31"/>
      <c r="CW12" s="32">
        <f>SUM(CQ12:CR12,CU12:CV12)</f>
        <v>46</v>
      </c>
      <c r="CX12" s="32"/>
      <c r="CY12" s="31" t="s">
        <v>232</v>
      </c>
      <c r="CZ12" s="31" t="s">
        <v>232</v>
      </c>
      <c r="DA12" s="31" t="s">
        <v>232</v>
      </c>
      <c r="DB12" s="31" t="s">
        <v>232</v>
      </c>
      <c r="DC12" s="31" t="s">
        <v>232</v>
      </c>
      <c r="DD12" s="31" t="s">
        <v>232</v>
      </c>
      <c r="DE12" s="32">
        <f t="shared" si="12"/>
        <v>0</v>
      </c>
      <c r="DF12" s="32"/>
      <c r="DG12" s="36">
        <f t="shared" si="13"/>
        <v>0.72749255952380942</v>
      </c>
      <c r="DH12" s="36">
        <f t="shared" si="13"/>
        <v>0.25917152575315838</v>
      </c>
      <c r="DI12" s="36">
        <f t="shared" si="14"/>
        <v>1.3335914723032067E-2</v>
      </c>
      <c r="DJ12" s="36" t="str">
        <f t="shared" si="14"/>
        <v>-</v>
      </c>
      <c r="DK12" s="32"/>
      <c r="DL12" s="37">
        <f t="shared" si="15"/>
        <v>0.85412845292523343</v>
      </c>
      <c r="DM12" s="37">
        <f t="shared" si="15"/>
        <v>0.13894516385139757</v>
      </c>
      <c r="DN12" s="37">
        <f t="shared" si="16"/>
        <v>6.9263832233690146E-3</v>
      </c>
      <c r="DO12" s="37" t="str">
        <f t="shared" si="16"/>
        <v>-</v>
      </c>
      <c r="DP12" s="32"/>
      <c r="DQ12" s="37">
        <f t="shared" si="17"/>
        <v>0.60897859096482132</v>
      </c>
      <c r="DR12" s="37">
        <f t="shared" si="17"/>
        <v>0.33028388192021124</v>
      </c>
      <c r="DS12" s="37">
        <f t="shared" si="18"/>
        <v>6.0737527114967452E-2</v>
      </c>
      <c r="DT12" s="37" t="str">
        <f t="shared" si="18"/>
        <v>-</v>
      </c>
      <c r="DU12" s="32"/>
      <c r="DV12" s="37">
        <f t="shared" si="19"/>
        <v>0.44561148737465411</v>
      </c>
      <c r="DW12" s="37">
        <f t="shared" si="19"/>
        <v>0.53119092627599251</v>
      </c>
      <c r="DX12" s="37">
        <f t="shared" si="20"/>
        <v>2.3197586349353396E-2</v>
      </c>
      <c r="DY12" s="37" t="str">
        <f t="shared" si="20"/>
        <v>-</v>
      </c>
      <c r="DZ12" s="32"/>
      <c r="EA12" s="37">
        <f t="shared" si="21"/>
        <v>0.92390251173883875</v>
      </c>
      <c r="EB12" s="37">
        <f t="shared" si="21"/>
        <v>7.5948423641648638E-2</v>
      </c>
      <c r="EC12" s="37">
        <f t="shared" si="22"/>
        <v>1.4906461951255868E-4</v>
      </c>
      <c r="ED12" s="37" t="str">
        <f t="shared" si="22"/>
        <v>-</v>
      </c>
      <c r="EE12" s="32"/>
      <c r="EF12" s="38">
        <f t="shared" si="23"/>
        <v>0</v>
      </c>
      <c r="EG12" s="38">
        <f t="shared" si="24"/>
        <v>0</v>
      </c>
      <c r="EH12" s="38">
        <f t="shared" si="25"/>
        <v>0</v>
      </c>
      <c r="EI12" s="38">
        <f t="shared" si="26"/>
        <v>0</v>
      </c>
      <c r="EJ12" s="38" t="str">
        <f t="shared" si="27"/>
        <v>-</v>
      </c>
      <c r="EK12" s="32"/>
      <c r="EL12" s="39">
        <f t="shared" si="28"/>
        <v>1.6124066604396806E-3</v>
      </c>
      <c r="EM12" s="39">
        <f t="shared" si="28"/>
        <v>2.99537145535505E-2</v>
      </c>
      <c r="EN12" s="39">
        <f t="shared" si="29"/>
        <v>0.41104469114716768</v>
      </c>
      <c r="EO12" s="39" t="str">
        <f t="shared" si="29"/>
        <v>-</v>
      </c>
      <c r="EP12" s="39">
        <f t="shared" si="29"/>
        <v>1.4417820699708454E-2</v>
      </c>
      <c r="ER12" s="39">
        <f t="shared" si="30"/>
        <v>1.2019712328218278E-4</v>
      </c>
      <c r="ES12" s="40">
        <f t="shared" si="30"/>
        <v>7.2902812669326635E-3</v>
      </c>
      <c r="ET12" s="40">
        <f t="shared" si="31"/>
        <v>0.14822134387351779</v>
      </c>
      <c r="EU12" s="40" t="str">
        <f t="shared" si="31"/>
        <v>-</v>
      </c>
      <c r="EV12" s="40">
        <f t="shared" si="31"/>
        <v>2.142250937662551E-3</v>
      </c>
      <c r="EW12" s="32"/>
      <c r="EX12" s="39">
        <f t="shared" si="32"/>
        <v>1.7655257859687162E-2</v>
      </c>
      <c r="EY12" s="40">
        <f t="shared" si="32"/>
        <v>0.16619074814391777</v>
      </c>
      <c r="EZ12" s="40">
        <f t="shared" si="33"/>
        <v>0.83540372670807461</v>
      </c>
      <c r="FA12" s="40" t="str">
        <f t="shared" si="33"/>
        <v>-</v>
      </c>
      <c r="FB12" s="40">
        <f t="shared" si="33"/>
        <v>0.11638215599358673</v>
      </c>
      <c r="FC12" s="32"/>
      <c r="FD12" s="39">
        <f t="shared" si="34"/>
        <v>4.6916701783958426E-3</v>
      </c>
      <c r="FE12" s="40">
        <f t="shared" si="34"/>
        <v>3.0260894157573468E-2</v>
      </c>
      <c r="FF12" s="40">
        <f t="shared" si="35"/>
        <v>0.40690771721532648</v>
      </c>
      <c r="FG12" s="40" t="str">
        <f t="shared" si="35"/>
        <v>-</v>
      </c>
      <c r="FH12" s="40">
        <f t="shared" si="35"/>
        <v>2.7604251430288308E-2</v>
      </c>
      <c r="FI12" s="32"/>
      <c r="FJ12" s="39">
        <f t="shared" si="36"/>
        <v>5.2436269764440135E-4</v>
      </c>
      <c r="FK12" s="39">
        <f t="shared" si="36"/>
        <v>1.5210991167811581E-2</v>
      </c>
      <c r="FL12" s="39">
        <f t="shared" si="37"/>
        <v>0.5</v>
      </c>
      <c r="FM12" s="39" t="str">
        <f t="shared" si="37"/>
        <v>-</v>
      </c>
      <c r="FN12" s="39">
        <f t="shared" si="37"/>
        <v>1.7142431243944247E-3</v>
      </c>
      <c r="FP12" s="31">
        <v>243</v>
      </c>
      <c r="FQ12" s="31">
        <f>164+370</f>
        <v>534</v>
      </c>
      <c r="FR12" s="31"/>
      <c r="FS12" s="31">
        <v>2081</v>
      </c>
      <c r="FT12" s="42">
        <f t="shared" si="38"/>
        <v>2858</v>
      </c>
      <c r="FV12" s="43">
        <f t="shared" si="39"/>
        <v>1.6631532838722041E-3</v>
      </c>
      <c r="FW12" s="43">
        <f t="shared" si="40"/>
        <v>5.0363104781665571E-2</v>
      </c>
      <c r="FX12" s="43" t="str">
        <f t="shared" si="41"/>
        <v>-</v>
      </c>
      <c r="FY12" s="43">
        <f t="shared" si="42"/>
        <v>7.7550868301408657E-2</v>
      </c>
      <c r="FZ12" s="43">
        <f t="shared" si="43"/>
        <v>1.0849429057337219E-2</v>
      </c>
      <c r="GB12" s="41">
        <v>169</v>
      </c>
      <c r="GC12" s="41">
        <f>49+63</f>
        <v>112</v>
      </c>
      <c r="GD12" s="41">
        <v>127</v>
      </c>
      <c r="GE12" s="41">
        <v>0</v>
      </c>
      <c r="GF12" s="28">
        <f t="shared" si="44"/>
        <v>408</v>
      </c>
      <c r="GH12" s="43">
        <f t="shared" si="45"/>
        <v>1.1566786212938373E-3</v>
      </c>
      <c r="GI12" s="43">
        <f t="shared" si="46"/>
        <v>1.0563048193907385E-2</v>
      </c>
      <c r="GJ12" s="43">
        <f t="shared" si="47"/>
        <v>1.5899047309054946E-3</v>
      </c>
      <c r="GK12" s="43" t="str">
        <f t="shared" si="48"/>
        <v>-</v>
      </c>
      <c r="GL12" s="43">
        <f t="shared" si="49"/>
        <v>1.5488338192419823E-3</v>
      </c>
      <c r="GN12" s="42">
        <f t="shared" si="54"/>
        <v>2354</v>
      </c>
      <c r="GO12">
        <f t="shared" si="55"/>
        <v>259911</v>
      </c>
    </row>
    <row r="13" spans="1:197" x14ac:dyDescent="0.25">
      <c r="A13" s="29" t="s">
        <v>235</v>
      </c>
      <c r="B13" s="29"/>
      <c r="C13" s="10">
        <f t="shared" si="0"/>
        <v>39.883600000000001</v>
      </c>
      <c r="D13" s="10">
        <f t="shared" si="0"/>
        <v>2.8166000000000002</v>
      </c>
      <c r="E13" s="10">
        <f t="shared" si="0"/>
        <v>1.8540000000000003</v>
      </c>
      <c r="F13" s="10">
        <f t="shared" si="0"/>
        <v>0.96260000000000001</v>
      </c>
      <c r="G13" s="10">
        <f t="shared" si="0"/>
        <v>0.1147</v>
      </c>
      <c r="H13" s="10">
        <f t="shared" si="0"/>
        <v>0.20329999999999998</v>
      </c>
      <c r="I13" s="10">
        <f t="shared" si="0"/>
        <v>43.0182</v>
      </c>
      <c r="K13" s="10">
        <f t="shared" si="1"/>
        <v>39.883600000000001</v>
      </c>
      <c r="L13" s="10">
        <f t="shared" si="1"/>
        <v>2.8166000000000002</v>
      </c>
      <c r="M13" s="10">
        <f t="shared" si="1"/>
        <v>1.8540000000000003</v>
      </c>
      <c r="N13" s="10">
        <f t="shared" si="1"/>
        <v>0.96260000000000001</v>
      </c>
      <c r="O13" s="10">
        <f t="shared" si="1"/>
        <v>0.1147</v>
      </c>
      <c r="P13" s="10">
        <f t="shared" si="1"/>
        <v>0.20329999999999998</v>
      </c>
      <c r="Q13" s="10">
        <f t="shared" si="1"/>
        <v>43.0182</v>
      </c>
      <c r="R13" s="30"/>
      <c r="S13" s="10">
        <v>39.868099999999998</v>
      </c>
      <c r="T13" s="10">
        <f>SUM(U13:V13)</f>
        <v>2.8097000000000003</v>
      </c>
      <c r="U13" s="10">
        <v>1.8501000000000003</v>
      </c>
      <c r="V13" s="31">
        <v>0.95960000000000001</v>
      </c>
      <c r="W13" s="31">
        <v>0.1139</v>
      </c>
      <c r="X13" s="31">
        <v>0.20329999999999998</v>
      </c>
      <c r="Y13" s="32">
        <f t="shared" si="2"/>
        <v>42.994999999999997</v>
      </c>
      <c r="Z13" s="32"/>
      <c r="AA13" s="31" t="s">
        <v>232</v>
      </c>
      <c r="AB13" s="31" t="s">
        <v>232</v>
      </c>
      <c r="AC13" s="31" t="s">
        <v>232</v>
      </c>
      <c r="AD13" s="31" t="s">
        <v>232</v>
      </c>
      <c r="AE13" s="31" t="s">
        <v>232</v>
      </c>
      <c r="AF13" s="31" t="s">
        <v>232</v>
      </c>
      <c r="AG13" s="50">
        <f t="shared" si="3"/>
        <v>0</v>
      </c>
      <c r="AH13" s="32"/>
      <c r="AI13" s="31" t="s">
        <v>232</v>
      </c>
      <c r="AJ13" s="31" t="s">
        <v>232</v>
      </c>
      <c r="AK13" s="31" t="s">
        <v>232</v>
      </c>
      <c r="AL13" s="31" t="s">
        <v>232</v>
      </c>
      <c r="AM13" s="31" t="s">
        <v>232</v>
      </c>
      <c r="AN13" s="31" t="s">
        <v>232</v>
      </c>
      <c r="AO13" s="32">
        <f t="shared" si="4"/>
        <v>0</v>
      </c>
      <c r="AP13" s="32"/>
      <c r="AQ13" s="31">
        <v>1.55E-2</v>
      </c>
      <c r="AR13" s="31">
        <f>SUM(AS13:AT13)</f>
        <v>6.8999999999999999E-3</v>
      </c>
      <c r="AS13" s="31">
        <f>0.0015+0.0024</f>
        <v>3.8999999999999998E-3</v>
      </c>
      <c r="AT13" s="31">
        <v>3.0000000000000001E-3</v>
      </c>
      <c r="AU13" s="31">
        <f>0.0004+0.0002+0.0002</f>
        <v>8.0000000000000004E-4</v>
      </c>
      <c r="AV13" s="31">
        <v>0</v>
      </c>
      <c r="AW13" s="32">
        <f t="shared" si="5"/>
        <v>2.3199999999999998E-2</v>
      </c>
      <c r="AX13" s="32"/>
      <c r="AY13" s="31" t="s">
        <v>232</v>
      </c>
      <c r="AZ13" s="31" t="s">
        <v>232</v>
      </c>
      <c r="BA13" s="31" t="s">
        <v>232</v>
      </c>
      <c r="BB13" s="31" t="s">
        <v>232</v>
      </c>
      <c r="BC13" s="31" t="s">
        <v>232</v>
      </c>
      <c r="BD13" s="31" t="s">
        <v>232</v>
      </c>
      <c r="BE13" s="32">
        <f t="shared" si="50"/>
        <v>0</v>
      </c>
      <c r="BF13" s="32"/>
      <c r="BG13" s="10">
        <v>25.9</v>
      </c>
      <c r="BH13" s="10">
        <v>14.7</v>
      </c>
      <c r="BI13" s="10">
        <v>10.7</v>
      </c>
      <c r="BJ13" s="10" t="str">
        <f t="shared" si="7"/>
        <v>-</v>
      </c>
      <c r="BK13" s="10">
        <f>IF(SUM(BY13,CG13,CO13,DE13,CW13)&lt;=0,"-",SUM(BY13,CG13,CO13,DE13,CW13))</f>
        <v>51.300000000000004</v>
      </c>
      <c r="BM13" s="10">
        <v>25.9</v>
      </c>
      <c r="BN13" s="10">
        <v>14.7</v>
      </c>
      <c r="BO13" s="10">
        <v>10.7</v>
      </c>
      <c r="BP13" s="10">
        <f t="shared" ref="BP13" si="56">IF(SUM(CD13,CL13,CT13,DJ13,DB13)&lt;=0,"-",SUM(CD13,CL13,CT13,DJ13,DB13))</f>
        <v>4.7259067092532926E-3</v>
      </c>
      <c r="BQ13" s="10">
        <f t="shared" si="9"/>
        <v>51.300000000000004</v>
      </c>
      <c r="BS13" s="31" t="s">
        <v>232</v>
      </c>
      <c r="BT13" s="31" t="s">
        <v>232</v>
      </c>
      <c r="BU13" s="31" t="s">
        <v>232</v>
      </c>
      <c r="BV13" s="31" t="s">
        <v>232</v>
      </c>
      <c r="BW13" s="31" t="s">
        <v>232</v>
      </c>
      <c r="BX13" s="31" t="s">
        <v>232</v>
      </c>
      <c r="BY13" s="32">
        <v>49.900000000000006</v>
      </c>
      <c r="BZ13" s="32"/>
      <c r="CA13" s="46" t="s">
        <v>232</v>
      </c>
      <c r="CB13" s="46" t="s">
        <v>232</v>
      </c>
      <c r="CC13" s="31" t="s">
        <v>232</v>
      </c>
      <c r="CD13" s="31" t="s">
        <v>232</v>
      </c>
      <c r="CE13" s="46" t="s">
        <v>232</v>
      </c>
      <c r="CF13" s="31" t="s">
        <v>232</v>
      </c>
      <c r="CG13" s="32">
        <f t="shared" ref="CG13:CG24" si="57">SUM(CA13:CB13,CE13:CF13)</f>
        <v>0</v>
      </c>
      <c r="CH13" s="32"/>
      <c r="CI13" s="46" t="s">
        <v>232</v>
      </c>
      <c r="CJ13" s="46" t="s">
        <v>232</v>
      </c>
      <c r="CK13" s="31" t="s">
        <v>232</v>
      </c>
      <c r="CL13" s="31" t="s">
        <v>232</v>
      </c>
      <c r="CM13" s="46" t="s">
        <v>232</v>
      </c>
      <c r="CN13" s="31" t="s">
        <v>232</v>
      </c>
      <c r="CO13" s="32">
        <f t="shared" ref="CO13:CO24" si="58">SUM(CI13:CJ13,CM13:CN13)</f>
        <v>0</v>
      </c>
      <c r="CP13" s="32"/>
      <c r="CQ13" s="46" t="s">
        <v>232</v>
      </c>
      <c r="CR13" s="46" t="s">
        <v>232</v>
      </c>
      <c r="CS13" s="31" t="s">
        <v>232</v>
      </c>
      <c r="CT13" s="31" t="s">
        <v>232</v>
      </c>
      <c r="CU13" s="46" t="s">
        <v>232</v>
      </c>
      <c r="CV13" s="31" t="s">
        <v>232</v>
      </c>
      <c r="CW13" s="32">
        <f>1+0.4</f>
        <v>1.4</v>
      </c>
      <c r="CX13" s="32"/>
      <c r="CY13" s="31" t="s">
        <v>232</v>
      </c>
      <c r="CZ13" s="31" t="s">
        <v>232</v>
      </c>
      <c r="DA13" s="31" t="s">
        <v>232</v>
      </c>
      <c r="DB13" s="31" t="s">
        <v>232</v>
      </c>
      <c r="DC13" s="31" t="s">
        <v>232</v>
      </c>
      <c r="DD13" s="31" t="s">
        <v>232</v>
      </c>
      <c r="DE13" s="32">
        <f t="shared" si="12"/>
        <v>0</v>
      </c>
      <c r="DF13" s="32"/>
      <c r="DG13" s="36">
        <f t="shared" si="13"/>
        <v>0.92713316689215264</v>
      </c>
      <c r="DH13" s="36">
        <f t="shared" si="13"/>
        <v>6.5474613070746798E-2</v>
      </c>
      <c r="DI13" s="36">
        <f t="shared" si="14"/>
        <v>2.6663133278472832E-3</v>
      </c>
      <c r="DJ13" s="36">
        <f t="shared" si="14"/>
        <v>4.7259067092532926E-3</v>
      </c>
      <c r="DK13" s="32"/>
      <c r="DL13" s="37">
        <f t="shared" si="15"/>
        <v>0.9272729387138039</v>
      </c>
      <c r="DM13" s="37">
        <f t="shared" si="15"/>
        <v>6.5349459239446461E-2</v>
      </c>
      <c r="DN13" s="37">
        <f t="shared" si="16"/>
        <v>2.6491452494476105E-3</v>
      </c>
      <c r="DO13" s="37">
        <f t="shared" si="16"/>
        <v>4.7284567973020115E-3</v>
      </c>
      <c r="DP13" s="32"/>
      <c r="DQ13" s="37" t="str">
        <f t="shared" si="17"/>
        <v>-</v>
      </c>
      <c r="DR13" s="37" t="str">
        <f t="shared" si="17"/>
        <v>-</v>
      </c>
      <c r="DS13" s="37" t="str">
        <f t="shared" si="18"/>
        <v>-</v>
      </c>
      <c r="DT13" s="37" t="str">
        <f t="shared" si="18"/>
        <v>-</v>
      </c>
      <c r="DU13" s="32"/>
      <c r="DV13" s="37" t="str">
        <f t="shared" si="19"/>
        <v>-</v>
      </c>
      <c r="DW13" s="37" t="str">
        <f t="shared" si="19"/>
        <v>-</v>
      </c>
      <c r="DX13" s="37" t="str">
        <f t="shared" si="20"/>
        <v>-</v>
      </c>
      <c r="DY13" s="37" t="str">
        <f t="shared" si="20"/>
        <v>-</v>
      </c>
      <c r="DZ13" s="32"/>
      <c r="EA13" s="37">
        <f t="shared" si="21"/>
        <v>0.6681034482758621</v>
      </c>
      <c r="EB13" s="37">
        <f t="shared" si="21"/>
        <v>0.29741379310344829</v>
      </c>
      <c r="EC13" s="37">
        <f t="shared" si="22"/>
        <v>3.4482758620689662E-2</v>
      </c>
      <c r="ED13" s="37" t="str">
        <f t="shared" si="22"/>
        <v>-</v>
      </c>
      <c r="EE13" s="32"/>
      <c r="EF13" s="38">
        <f t="shared" si="23"/>
        <v>0.34153112431932231</v>
      </c>
      <c r="EG13" s="38" t="str">
        <f t="shared" si="24"/>
        <v>-</v>
      </c>
      <c r="EH13" s="38" t="str">
        <f t="shared" si="25"/>
        <v>-</v>
      </c>
      <c r="EI13" s="38">
        <f t="shared" si="26"/>
        <v>0.43478260869565222</v>
      </c>
      <c r="EJ13" s="38">
        <f t="shared" si="27"/>
        <v>0.34175956827380527</v>
      </c>
      <c r="EK13" s="32"/>
      <c r="EL13" s="39">
        <f t="shared" si="28"/>
        <v>6.4938972409712254E-4</v>
      </c>
      <c r="EM13" s="39">
        <f t="shared" si="28"/>
        <v>5.2190584392529998E-3</v>
      </c>
      <c r="EN13" s="39">
        <f t="shared" si="29"/>
        <v>9.3286835222319078E-2</v>
      </c>
      <c r="EO13" s="39">
        <f t="shared" si="29"/>
        <v>2.3245974959435777E-5</v>
      </c>
      <c r="EP13" s="39">
        <f t="shared" si="29"/>
        <v>1.1925185154190551E-3</v>
      </c>
      <c r="ER13" s="39" t="str">
        <f t="shared" si="30"/>
        <v>-</v>
      </c>
      <c r="ES13" s="40" t="str">
        <f t="shared" si="30"/>
        <v>-</v>
      </c>
      <c r="ET13" s="40" t="str">
        <f t="shared" si="31"/>
        <v>-</v>
      </c>
      <c r="EU13" s="40" t="str">
        <f t="shared" si="31"/>
        <v>-</v>
      </c>
      <c r="EV13" s="40">
        <f t="shared" si="31"/>
        <v>1.1606000697755555E-3</v>
      </c>
      <c r="EW13" s="32"/>
      <c r="EX13" s="39" t="str">
        <f t="shared" si="32"/>
        <v>-</v>
      </c>
      <c r="EY13" s="40" t="str">
        <f t="shared" si="32"/>
        <v>-</v>
      </c>
      <c r="EZ13" s="40" t="str">
        <f t="shared" si="33"/>
        <v>-</v>
      </c>
      <c r="FA13" s="40" t="str">
        <f t="shared" si="33"/>
        <v>-</v>
      </c>
      <c r="FB13" s="40" t="str">
        <f t="shared" si="33"/>
        <v>-</v>
      </c>
      <c r="FC13" s="32"/>
      <c r="FD13" s="39" t="str">
        <f t="shared" si="34"/>
        <v>-</v>
      </c>
      <c r="FE13" s="40" t="str">
        <f t="shared" si="34"/>
        <v>-</v>
      </c>
      <c r="FF13" s="40" t="str">
        <f t="shared" si="35"/>
        <v>-</v>
      </c>
      <c r="FG13" s="40" t="str">
        <f t="shared" si="35"/>
        <v>-</v>
      </c>
      <c r="FH13" s="40" t="str">
        <f t="shared" si="35"/>
        <v>-</v>
      </c>
      <c r="FI13" s="32"/>
      <c r="FJ13" s="39" t="str">
        <f t="shared" si="36"/>
        <v>-</v>
      </c>
      <c r="FK13" s="39" t="str">
        <f t="shared" si="36"/>
        <v>-</v>
      </c>
      <c r="FL13" s="39" t="str">
        <f t="shared" si="37"/>
        <v>-</v>
      </c>
      <c r="FM13" s="39" t="str">
        <f t="shared" si="37"/>
        <v>-</v>
      </c>
      <c r="FN13" s="39">
        <f t="shared" si="37"/>
        <v>6.0344827586206899E-2</v>
      </c>
      <c r="FP13" s="31" t="s">
        <v>232</v>
      </c>
      <c r="FQ13" s="31" t="s">
        <v>232</v>
      </c>
      <c r="FR13" s="31" t="s">
        <v>232</v>
      </c>
      <c r="FS13" s="31" t="s">
        <v>232</v>
      </c>
      <c r="FT13" s="42">
        <f>0.0394*1000</f>
        <v>39.4</v>
      </c>
      <c r="FV13" s="43" t="str">
        <f t="shared" si="39"/>
        <v>-</v>
      </c>
      <c r="FW13" s="43" t="str">
        <f t="shared" si="40"/>
        <v>-</v>
      </c>
      <c r="FX13" s="43" t="str">
        <f t="shared" si="41"/>
        <v>-</v>
      </c>
      <c r="FY13" s="43" t="str">
        <f t="shared" si="42"/>
        <v>-</v>
      </c>
      <c r="FZ13" s="43">
        <f t="shared" si="43"/>
        <v>9.1589141340176947E-4</v>
      </c>
      <c r="GB13" s="41" t="s">
        <v>232</v>
      </c>
      <c r="GC13" s="41" t="s">
        <v>232</v>
      </c>
      <c r="GD13" s="41" t="s">
        <v>232</v>
      </c>
      <c r="GE13" s="41" t="s">
        <v>232</v>
      </c>
      <c r="GF13" s="28">
        <f>0.0001*1000</f>
        <v>0.1</v>
      </c>
      <c r="GH13" s="43" t="str">
        <f t="shared" si="45"/>
        <v>-</v>
      </c>
      <c r="GI13" s="43" t="str">
        <f t="shared" si="46"/>
        <v>-</v>
      </c>
      <c r="GJ13" s="43" t="str">
        <f t="shared" si="47"/>
        <v>-</v>
      </c>
      <c r="GK13" s="43" t="str">
        <f t="shared" si="48"/>
        <v>-</v>
      </c>
      <c r="GL13" s="43">
        <f>IF(ISERROR(GF13/$Q13/1000),"-",IF(GF13/$Q13/1000=0,"-",GF13/$Q13/1000))</f>
        <v>2.3245974959435774E-6</v>
      </c>
      <c r="GN13" s="42">
        <f t="shared" si="54"/>
        <v>40.599999999999994</v>
      </c>
      <c r="GO13">
        <f t="shared" si="55"/>
        <v>42700.200000000004</v>
      </c>
    </row>
    <row r="14" spans="1:197" x14ac:dyDescent="0.25">
      <c r="A14" s="29" t="s">
        <v>245</v>
      </c>
      <c r="B14" s="29"/>
      <c r="C14" s="10">
        <f t="shared" si="0"/>
        <v>34.137300000000003</v>
      </c>
      <c r="D14" s="10">
        <f t="shared" si="0"/>
        <v>2.7459000000000002</v>
      </c>
      <c r="E14" s="10">
        <f t="shared" si="0"/>
        <v>2.6282000000000001</v>
      </c>
      <c r="F14" s="10">
        <f t="shared" si="0"/>
        <v>0.1177</v>
      </c>
      <c r="G14" s="10">
        <f t="shared" si="0"/>
        <v>0.34510000000000002</v>
      </c>
      <c r="H14" s="10">
        <f t="shared" si="0"/>
        <v>0.54010000000000002</v>
      </c>
      <c r="I14" s="10">
        <f t="shared" si="0"/>
        <v>37.768400000000007</v>
      </c>
      <c r="K14" s="10">
        <f t="shared" si="1"/>
        <v>34.137300000000003</v>
      </c>
      <c r="L14" s="10">
        <f t="shared" si="1"/>
        <v>2.7459000000000002</v>
      </c>
      <c r="M14" s="10">
        <f t="shared" si="1"/>
        <v>2.6282000000000001</v>
      </c>
      <c r="N14" s="10">
        <f t="shared" si="1"/>
        <v>0.1177</v>
      </c>
      <c r="O14" s="10">
        <f t="shared" si="1"/>
        <v>0.34510000000000002</v>
      </c>
      <c r="P14" s="10">
        <f t="shared" si="1"/>
        <v>0.54010000000000002</v>
      </c>
      <c r="Q14" s="10">
        <f t="shared" si="1"/>
        <v>37.768400000000007</v>
      </c>
      <c r="R14" s="30"/>
      <c r="S14" s="46">
        <v>34.137300000000003</v>
      </c>
      <c r="T14" s="32">
        <f>SUM(U14:V14)</f>
        <v>2.7459000000000002</v>
      </c>
      <c r="U14" s="46">
        <v>2.6282000000000001</v>
      </c>
      <c r="V14" s="46">
        <v>0.1177</v>
      </c>
      <c r="W14" s="46">
        <v>0.34510000000000002</v>
      </c>
      <c r="X14" s="46">
        <v>0.54010000000000002</v>
      </c>
      <c r="Y14" s="32">
        <f t="shared" si="2"/>
        <v>37.768400000000007</v>
      </c>
      <c r="Z14" s="32"/>
      <c r="AA14" s="34" t="s">
        <v>232</v>
      </c>
      <c r="AB14" s="34" t="s">
        <v>232</v>
      </c>
      <c r="AC14" s="34" t="s">
        <v>232</v>
      </c>
      <c r="AD14" s="34" t="s">
        <v>232</v>
      </c>
      <c r="AE14" s="34" t="s">
        <v>232</v>
      </c>
      <c r="AF14" s="34" t="s">
        <v>232</v>
      </c>
      <c r="AG14" s="32">
        <f t="shared" si="3"/>
        <v>0</v>
      </c>
      <c r="AH14" s="32"/>
      <c r="AI14" s="34" t="s">
        <v>232</v>
      </c>
      <c r="AJ14" s="34" t="s">
        <v>232</v>
      </c>
      <c r="AK14" s="34" t="s">
        <v>232</v>
      </c>
      <c r="AL14" s="34" t="s">
        <v>232</v>
      </c>
      <c r="AM14" s="34" t="s">
        <v>232</v>
      </c>
      <c r="AN14" s="34" t="s">
        <v>232</v>
      </c>
      <c r="AO14" s="32">
        <f t="shared" si="4"/>
        <v>0</v>
      </c>
      <c r="AP14" s="32"/>
      <c r="AQ14" s="34" t="s">
        <v>232</v>
      </c>
      <c r="AR14" s="34" t="s">
        <v>232</v>
      </c>
      <c r="AS14" s="34" t="s">
        <v>232</v>
      </c>
      <c r="AT14" s="34" t="s">
        <v>232</v>
      </c>
      <c r="AU14" s="34" t="s">
        <v>232</v>
      </c>
      <c r="AV14" s="34" t="s">
        <v>232</v>
      </c>
      <c r="AW14" s="32">
        <f t="shared" si="5"/>
        <v>0</v>
      </c>
      <c r="AX14" s="32"/>
      <c r="AY14" s="34" t="s">
        <v>232</v>
      </c>
      <c r="AZ14" s="34" t="s">
        <v>232</v>
      </c>
      <c r="BA14" s="34" t="s">
        <v>232</v>
      </c>
      <c r="BB14" s="34" t="s">
        <v>232</v>
      </c>
      <c r="BC14" s="34" t="s">
        <v>232</v>
      </c>
      <c r="BD14" s="34" t="s">
        <v>232</v>
      </c>
      <c r="BE14" s="32">
        <f t="shared" si="50"/>
        <v>0</v>
      </c>
      <c r="BF14" s="32"/>
      <c r="BG14" s="10">
        <f>IF(SUM(BS14,CA14,CI14,CY14,CQ14)&lt;=0,"-",SUM(BS14,CA14,CI14,CY14,CQ14))</f>
        <v>7</v>
      </c>
      <c r="BH14" s="10">
        <f t="shared" si="6"/>
        <v>22.2</v>
      </c>
      <c r="BI14" s="10">
        <f t="shared" si="7"/>
        <v>11.2</v>
      </c>
      <c r="BJ14" s="10">
        <f t="shared" si="7"/>
        <v>0.9</v>
      </c>
      <c r="BK14" s="51">
        <f t="shared" si="7"/>
        <v>41.3</v>
      </c>
      <c r="BL14" s="52"/>
      <c r="BM14" s="10">
        <f t="shared" si="8"/>
        <v>7</v>
      </c>
      <c r="BN14" s="10">
        <f t="shared" si="8"/>
        <v>22.2</v>
      </c>
      <c r="BO14" s="10">
        <f t="shared" si="9"/>
        <v>11.2</v>
      </c>
      <c r="BP14" s="10">
        <f t="shared" si="9"/>
        <v>0.9</v>
      </c>
      <c r="BQ14" s="51">
        <f t="shared" si="9"/>
        <v>41.3</v>
      </c>
      <c r="BS14" s="46">
        <v>7</v>
      </c>
      <c r="BT14" s="46">
        <v>22.2</v>
      </c>
      <c r="BU14" s="34" t="s">
        <v>232</v>
      </c>
      <c r="BV14" s="34" t="s">
        <v>232</v>
      </c>
      <c r="BW14" s="46">
        <v>11.2</v>
      </c>
      <c r="BX14" s="46">
        <v>0.9</v>
      </c>
      <c r="BY14" s="35">
        <f t="shared" ref="BY14:BY24" si="59">SUM(BS14:BT14,BW14:BX14)</f>
        <v>41.3</v>
      </c>
      <c r="BZ14" s="53"/>
      <c r="CA14" s="34" t="s">
        <v>232</v>
      </c>
      <c r="CB14" s="34" t="s">
        <v>232</v>
      </c>
      <c r="CC14" s="34" t="s">
        <v>232</v>
      </c>
      <c r="CD14" s="34" t="s">
        <v>232</v>
      </c>
      <c r="CE14" s="34" t="s">
        <v>232</v>
      </c>
      <c r="CF14" s="34" t="s">
        <v>232</v>
      </c>
      <c r="CG14" s="32">
        <f t="shared" si="57"/>
        <v>0</v>
      </c>
      <c r="CH14" s="32"/>
      <c r="CI14" s="34" t="s">
        <v>232</v>
      </c>
      <c r="CJ14" s="34" t="s">
        <v>232</v>
      </c>
      <c r="CK14" s="34" t="s">
        <v>232</v>
      </c>
      <c r="CL14" s="34" t="s">
        <v>232</v>
      </c>
      <c r="CM14" s="34" t="s">
        <v>232</v>
      </c>
      <c r="CN14" s="34" t="s">
        <v>232</v>
      </c>
      <c r="CO14" s="32">
        <f t="shared" si="58"/>
        <v>0</v>
      </c>
      <c r="CP14" s="32"/>
      <c r="CQ14" s="34" t="s">
        <v>232</v>
      </c>
      <c r="CR14" s="34" t="s">
        <v>232</v>
      </c>
      <c r="CS14" s="34" t="s">
        <v>232</v>
      </c>
      <c r="CT14" s="34" t="s">
        <v>232</v>
      </c>
      <c r="CU14" s="34" t="s">
        <v>232</v>
      </c>
      <c r="CV14" s="34" t="s">
        <v>232</v>
      </c>
      <c r="CW14" s="54">
        <f t="shared" ref="CW14:CW24" si="60">SUM(CQ14:CR14,CU14:CV14)</f>
        <v>0</v>
      </c>
      <c r="CX14" s="32"/>
      <c r="CY14" s="34" t="s">
        <v>232</v>
      </c>
      <c r="CZ14" s="34" t="s">
        <v>232</v>
      </c>
      <c r="DA14" s="34" t="s">
        <v>232</v>
      </c>
      <c r="DB14" s="34" t="s">
        <v>232</v>
      </c>
      <c r="DC14" s="34" t="s">
        <v>232</v>
      </c>
      <c r="DD14" s="34" t="s">
        <v>232</v>
      </c>
      <c r="DE14" s="32">
        <f t="shared" si="12"/>
        <v>0</v>
      </c>
      <c r="DF14" s="32"/>
      <c r="DG14" s="37">
        <f t="shared" si="13"/>
        <v>0.90385878141515119</v>
      </c>
      <c r="DH14" s="37">
        <f t="shared" si="13"/>
        <v>7.2703635843721193E-2</v>
      </c>
      <c r="DI14" s="37">
        <f t="shared" si="14"/>
        <v>9.1372681924571861E-3</v>
      </c>
      <c r="DJ14" s="37">
        <f t="shared" si="14"/>
        <v>1.4300314548670316E-2</v>
      </c>
      <c r="DK14" s="32"/>
      <c r="DL14" s="37">
        <f t="shared" si="15"/>
        <v>0.90385878141515119</v>
      </c>
      <c r="DM14" s="37">
        <f t="shared" si="15"/>
        <v>7.2703635843721193E-2</v>
      </c>
      <c r="DN14" s="37">
        <f t="shared" si="16"/>
        <v>9.1372681924571861E-3</v>
      </c>
      <c r="DO14" s="37">
        <f t="shared" si="16"/>
        <v>1.4300314548670316E-2</v>
      </c>
      <c r="DP14" s="32"/>
      <c r="DQ14" s="37" t="str">
        <f t="shared" si="17"/>
        <v>-</v>
      </c>
      <c r="DR14" s="37" t="str">
        <f t="shared" si="17"/>
        <v>-</v>
      </c>
      <c r="DS14" s="37" t="str">
        <f t="shared" si="18"/>
        <v>-</v>
      </c>
      <c r="DT14" s="37" t="str">
        <f t="shared" si="18"/>
        <v>-</v>
      </c>
      <c r="DU14" s="32"/>
      <c r="DV14" s="37" t="str">
        <f t="shared" si="19"/>
        <v>-</v>
      </c>
      <c r="DW14" s="37" t="str">
        <f t="shared" si="19"/>
        <v>-</v>
      </c>
      <c r="DX14" s="37" t="str">
        <f t="shared" si="20"/>
        <v>-</v>
      </c>
      <c r="DY14" s="37" t="str">
        <f t="shared" si="20"/>
        <v>-</v>
      </c>
      <c r="DZ14" s="32"/>
      <c r="EA14" s="37" t="str">
        <f t="shared" si="21"/>
        <v>-</v>
      </c>
      <c r="EB14" s="37" t="str">
        <f t="shared" si="21"/>
        <v>-</v>
      </c>
      <c r="EC14" s="37" t="str">
        <f t="shared" si="22"/>
        <v>-</v>
      </c>
      <c r="ED14" s="37" t="str">
        <f t="shared" si="22"/>
        <v>-</v>
      </c>
      <c r="EE14" s="32"/>
      <c r="EF14" s="38">
        <f t="shared" si="23"/>
        <v>4.2863906187406674E-2</v>
      </c>
      <c r="EG14" s="38" t="str">
        <f t="shared" si="24"/>
        <v>-</v>
      </c>
      <c r="EH14" s="38" t="str">
        <f t="shared" si="25"/>
        <v>-</v>
      </c>
      <c r="EI14" s="38" t="str">
        <f t="shared" si="26"/>
        <v>-</v>
      </c>
      <c r="EJ14" s="38">
        <f t="shared" si="27"/>
        <v>4.2863906187406674E-2</v>
      </c>
      <c r="EK14" s="32"/>
      <c r="EL14" s="39">
        <f t="shared" si="28"/>
        <v>2.0505429544808758E-4</v>
      </c>
      <c r="EM14" s="39">
        <f t="shared" si="28"/>
        <v>8.0847809461378779E-3</v>
      </c>
      <c r="EN14" s="39">
        <f t="shared" si="29"/>
        <v>3.2454361054766727E-2</v>
      </c>
      <c r="EO14" s="39">
        <f t="shared" si="29"/>
        <v>1.6663580818366971E-3</v>
      </c>
      <c r="EP14" s="55">
        <f t="shared" si="29"/>
        <v>1.0935067410851398E-3</v>
      </c>
      <c r="ER14" s="39">
        <f t="shared" si="30"/>
        <v>2.0505429544808758E-4</v>
      </c>
      <c r="ES14" s="40">
        <f t="shared" si="30"/>
        <v>8.0847809461378779E-3</v>
      </c>
      <c r="ET14" s="40">
        <f t="shared" si="31"/>
        <v>3.2454361054766727E-2</v>
      </c>
      <c r="EU14" s="40">
        <f t="shared" si="31"/>
        <v>1.6663580818366971E-3</v>
      </c>
      <c r="EV14" s="40">
        <f t="shared" si="31"/>
        <v>1.0935067410851398E-3</v>
      </c>
      <c r="EW14" s="32"/>
      <c r="EX14" s="39" t="str">
        <f t="shared" si="32"/>
        <v>-</v>
      </c>
      <c r="EY14" s="40" t="str">
        <f t="shared" si="32"/>
        <v>-</v>
      </c>
      <c r="EZ14" s="40" t="str">
        <f t="shared" si="33"/>
        <v>-</v>
      </c>
      <c r="FA14" s="40" t="str">
        <f t="shared" si="33"/>
        <v>-</v>
      </c>
      <c r="FB14" s="40" t="str">
        <f t="shared" si="33"/>
        <v>-</v>
      </c>
      <c r="FC14" s="32"/>
      <c r="FD14" s="39" t="str">
        <f t="shared" si="34"/>
        <v>-</v>
      </c>
      <c r="FE14" s="40" t="str">
        <f t="shared" si="34"/>
        <v>-</v>
      </c>
      <c r="FF14" s="40" t="str">
        <f t="shared" si="35"/>
        <v>-</v>
      </c>
      <c r="FG14" s="40" t="str">
        <f t="shared" si="35"/>
        <v>-</v>
      </c>
      <c r="FH14" s="40" t="str">
        <f t="shared" si="35"/>
        <v>-</v>
      </c>
      <c r="FI14" s="32"/>
      <c r="FJ14" s="39" t="str">
        <f t="shared" si="36"/>
        <v>-</v>
      </c>
      <c r="FK14" s="39" t="str">
        <f t="shared" si="36"/>
        <v>-</v>
      </c>
      <c r="FL14" s="39" t="str">
        <f t="shared" si="37"/>
        <v>-</v>
      </c>
      <c r="FM14" s="39" t="str">
        <f t="shared" si="37"/>
        <v>-</v>
      </c>
      <c r="FN14" s="39" t="str">
        <f t="shared" si="37"/>
        <v>-</v>
      </c>
      <c r="FP14" s="56" t="s">
        <v>232</v>
      </c>
      <c r="FQ14" s="56" t="s">
        <v>232</v>
      </c>
      <c r="FR14" s="56" t="s">
        <v>232</v>
      </c>
      <c r="FS14" s="56" t="s">
        <v>232</v>
      </c>
      <c r="FT14" s="57">
        <v>14.3</v>
      </c>
      <c r="FV14" s="43" t="str">
        <f t="shared" si="39"/>
        <v>-</v>
      </c>
      <c r="FW14" s="43" t="str">
        <f t="shared" si="40"/>
        <v>-</v>
      </c>
      <c r="FX14" s="43" t="str">
        <f t="shared" si="41"/>
        <v>-</v>
      </c>
      <c r="FY14" s="43" t="str">
        <f t="shared" si="42"/>
        <v>-</v>
      </c>
      <c r="FZ14" s="43">
        <f t="shared" si="43"/>
        <v>3.7862339945562951E-4</v>
      </c>
      <c r="GB14" s="56" t="s">
        <v>232</v>
      </c>
      <c r="GC14" s="56" t="s">
        <v>232</v>
      </c>
      <c r="GD14" s="56" t="s">
        <v>232</v>
      </c>
      <c r="GE14" s="56" t="s">
        <v>232</v>
      </c>
      <c r="GF14" s="28">
        <v>0.9</v>
      </c>
      <c r="GH14" s="43" t="str">
        <f t="shared" si="45"/>
        <v>-</v>
      </c>
      <c r="GI14" s="43" t="str">
        <f t="shared" si="46"/>
        <v>-</v>
      </c>
      <c r="GJ14" s="43" t="str">
        <f t="shared" si="47"/>
        <v>-</v>
      </c>
      <c r="GK14" s="43" t="str">
        <f t="shared" si="48"/>
        <v>-</v>
      </c>
      <c r="GL14" s="58">
        <f t="shared" si="49"/>
        <v>2.3829444720983677E-5</v>
      </c>
      <c r="GN14" s="42">
        <f t="shared" si="54"/>
        <v>29.2</v>
      </c>
      <c r="GO14">
        <f t="shared" si="55"/>
        <v>36883.200000000004</v>
      </c>
    </row>
    <row r="15" spans="1:197" x14ac:dyDescent="0.25">
      <c r="A15" s="29" t="s">
        <v>246</v>
      </c>
      <c r="B15" s="29"/>
      <c r="C15" s="10">
        <f t="shared" si="0"/>
        <v>67.405000000000001</v>
      </c>
      <c r="D15" s="10">
        <f t="shared" si="0"/>
        <v>5.2870000000000008</v>
      </c>
      <c r="E15" s="10">
        <f t="shared" si="0"/>
        <v>5.0609999999999999</v>
      </c>
      <c r="F15" s="10">
        <f t="shared" si="0"/>
        <v>0.22600000000000001</v>
      </c>
      <c r="G15" s="10">
        <f t="shared" si="0"/>
        <v>0.7370000000000001</v>
      </c>
      <c r="H15" s="10">
        <f t="shared" si="0"/>
        <v>9.7000000000000003E-2</v>
      </c>
      <c r="I15" s="10">
        <f t="shared" si="0"/>
        <v>73.52600000000001</v>
      </c>
      <c r="K15" s="10">
        <f t="shared" si="1"/>
        <v>67.405000000000001</v>
      </c>
      <c r="L15" s="10">
        <f t="shared" si="1"/>
        <v>5.2870000000000008</v>
      </c>
      <c r="M15" s="10">
        <f t="shared" si="1"/>
        <v>5.0609999999999999</v>
      </c>
      <c r="N15" s="10">
        <f t="shared" si="1"/>
        <v>0.22600000000000001</v>
      </c>
      <c r="O15" s="10">
        <f t="shared" si="1"/>
        <v>0.7370000000000001</v>
      </c>
      <c r="P15" s="10">
        <f t="shared" si="1"/>
        <v>9.7000000000000003E-2</v>
      </c>
      <c r="Q15" s="10">
        <f t="shared" si="1"/>
        <v>73.52600000000001</v>
      </c>
      <c r="R15" s="30"/>
      <c r="S15" s="31">
        <v>56.905999999999999</v>
      </c>
      <c r="T15" s="32">
        <f>SUM(U15:V15)</f>
        <v>2.3680000000000003</v>
      </c>
      <c r="U15" s="31">
        <v>2.1800000000000002</v>
      </c>
      <c r="V15" s="31">
        <v>0.188</v>
      </c>
      <c r="W15" s="31">
        <v>0.39800000000000002</v>
      </c>
      <c r="X15" s="31">
        <v>9.1999999999999998E-2</v>
      </c>
      <c r="Y15" s="32">
        <f t="shared" si="2"/>
        <v>59.764000000000003</v>
      </c>
      <c r="Z15" s="32"/>
      <c r="AA15" s="31">
        <v>4.9290000000000003</v>
      </c>
      <c r="AB15" s="47">
        <f>SUM(AC15:AD15)</f>
        <v>0.45999999999999996</v>
      </c>
      <c r="AC15" s="31">
        <v>0.42499999999999999</v>
      </c>
      <c r="AD15" s="31">
        <v>3.5000000000000003E-2</v>
      </c>
      <c r="AE15" s="31">
        <v>6.6000000000000003E-2</v>
      </c>
      <c r="AF15" s="31">
        <v>5.0000000000000001E-3</v>
      </c>
      <c r="AG15" s="32">
        <f>SUM(AA15:AB15,AE15:AF15)</f>
        <v>5.46</v>
      </c>
      <c r="AH15" s="32"/>
      <c r="AI15" s="31">
        <v>5.57</v>
      </c>
      <c r="AJ15" s="47">
        <f>SUM(AK15:AL15)</f>
        <v>2.4590000000000001</v>
      </c>
      <c r="AK15" s="31">
        <v>2.456</v>
      </c>
      <c r="AL15" s="31">
        <v>3.0000000000000001E-3</v>
      </c>
      <c r="AM15" s="31">
        <v>0.27300000000000002</v>
      </c>
      <c r="AN15" s="31">
        <v>0</v>
      </c>
      <c r="AO15" s="32">
        <f t="shared" si="4"/>
        <v>8.3019999999999996</v>
      </c>
      <c r="AP15" s="32"/>
      <c r="AQ15" s="34" t="s">
        <v>232</v>
      </c>
      <c r="AR15" s="34" t="s">
        <v>232</v>
      </c>
      <c r="AS15" s="34" t="s">
        <v>232</v>
      </c>
      <c r="AT15" s="34" t="s">
        <v>232</v>
      </c>
      <c r="AU15" s="34" t="s">
        <v>232</v>
      </c>
      <c r="AV15" s="34" t="s">
        <v>232</v>
      </c>
      <c r="AW15" s="32">
        <f t="shared" si="5"/>
        <v>0</v>
      </c>
      <c r="AX15" s="32"/>
      <c r="AY15" s="34" t="s">
        <v>232</v>
      </c>
      <c r="AZ15" s="34" t="s">
        <v>232</v>
      </c>
      <c r="BA15" s="34" t="s">
        <v>232</v>
      </c>
      <c r="BB15" s="34" t="s">
        <v>232</v>
      </c>
      <c r="BC15" s="34" t="s">
        <v>232</v>
      </c>
      <c r="BD15" s="34" t="s">
        <v>232</v>
      </c>
      <c r="BE15" s="32">
        <f t="shared" si="50"/>
        <v>0</v>
      </c>
      <c r="BF15" s="32"/>
      <c r="BG15" s="10">
        <f t="shared" si="51"/>
        <v>130</v>
      </c>
      <c r="BH15" s="10">
        <f t="shared" si="6"/>
        <v>267</v>
      </c>
      <c r="BI15" s="10">
        <f t="shared" si="7"/>
        <v>148</v>
      </c>
      <c r="BJ15" s="10" t="str">
        <f t="shared" si="7"/>
        <v>-</v>
      </c>
      <c r="BK15" s="10">
        <f t="shared" si="7"/>
        <v>542</v>
      </c>
      <c r="BM15" s="10">
        <f t="shared" si="8"/>
        <v>130</v>
      </c>
      <c r="BN15" s="10">
        <f t="shared" si="8"/>
        <v>267</v>
      </c>
      <c r="BO15" s="10">
        <f t="shared" si="9"/>
        <v>148</v>
      </c>
      <c r="BP15" s="10" t="str">
        <f t="shared" si="9"/>
        <v>-</v>
      </c>
      <c r="BQ15" s="10">
        <f t="shared" si="9"/>
        <v>542</v>
      </c>
      <c r="BS15" s="46">
        <v>7</v>
      </c>
      <c r="BT15" s="59">
        <f>SUM(BU15:BV15)</f>
        <v>15</v>
      </c>
      <c r="BU15" s="34">
        <v>8</v>
      </c>
      <c r="BV15" s="34">
        <v>7</v>
      </c>
      <c r="BW15" s="46">
        <v>29</v>
      </c>
      <c r="BX15" s="46">
        <v>-1</v>
      </c>
      <c r="BY15" s="32">
        <f t="shared" si="59"/>
        <v>50</v>
      </c>
      <c r="BZ15" s="32"/>
      <c r="CA15" s="60">
        <v>79</v>
      </c>
      <c r="CB15" s="32">
        <f>SUM(CC15:CD15)</f>
        <v>112</v>
      </c>
      <c r="CC15" s="61">
        <v>92</v>
      </c>
      <c r="CD15" s="61">
        <v>20</v>
      </c>
      <c r="CE15" s="60">
        <v>42</v>
      </c>
      <c r="CF15" s="60">
        <v>-2</v>
      </c>
      <c r="CG15" s="32">
        <f t="shared" si="57"/>
        <v>231</v>
      </c>
      <c r="CH15" s="60"/>
      <c r="CI15" s="60">
        <v>44</v>
      </c>
      <c r="CJ15" s="32">
        <f>SUM(CK15:CL15)</f>
        <v>140</v>
      </c>
      <c r="CK15" s="61">
        <v>140</v>
      </c>
      <c r="CL15" s="61">
        <v>0</v>
      </c>
      <c r="CM15" s="60">
        <v>77</v>
      </c>
      <c r="CN15" s="60">
        <v>0</v>
      </c>
      <c r="CO15" s="32">
        <f t="shared" si="58"/>
        <v>261</v>
      </c>
      <c r="CP15" s="32"/>
      <c r="CQ15" s="34" t="s">
        <v>232</v>
      </c>
      <c r="CR15" s="34" t="s">
        <v>232</v>
      </c>
      <c r="CS15" s="34" t="s">
        <v>232</v>
      </c>
      <c r="CT15" s="34" t="s">
        <v>232</v>
      </c>
      <c r="CU15" s="34" t="s">
        <v>232</v>
      </c>
      <c r="CV15" s="34" t="s">
        <v>232</v>
      </c>
      <c r="CW15" s="32">
        <f t="shared" si="60"/>
        <v>0</v>
      </c>
      <c r="CX15" s="32"/>
      <c r="CY15" s="34" t="s">
        <v>232</v>
      </c>
      <c r="CZ15" s="34" t="s">
        <v>232</v>
      </c>
      <c r="DA15" s="34" t="s">
        <v>232</v>
      </c>
      <c r="DB15" s="34" t="s">
        <v>232</v>
      </c>
      <c r="DC15" s="34" t="s">
        <v>232</v>
      </c>
      <c r="DD15" s="34" t="s">
        <v>232</v>
      </c>
      <c r="DE15" s="32">
        <f t="shared" si="12"/>
        <v>0</v>
      </c>
      <c r="DF15" s="32"/>
      <c r="DG15" s="37">
        <f t="shared" si="13"/>
        <v>0.91675053722492716</v>
      </c>
      <c r="DH15" s="37">
        <f t="shared" si="13"/>
        <v>7.1906536463291898E-2</v>
      </c>
      <c r="DI15" s="37">
        <f t="shared" si="14"/>
        <v>1.002366509806055E-2</v>
      </c>
      <c r="DJ15" s="37">
        <f t="shared" si="14"/>
        <v>1.3192612137203166E-3</v>
      </c>
      <c r="DK15" s="32"/>
      <c r="DL15" s="37">
        <f t="shared" si="15"/>
        <v>0.95217856903821696</v>
      </c>
      <c r="DM15" s="37">
        <f t="shared" si="15"/>
        <v>3.9622515226557797E-2</v>
      </c>
      <c r="DN15" s="37">
        <f t="shared" si="16"/>
        <v>6.6595274747339537E-3</v>
      </c>
      <c r="DO15" s="37">
        <f t="shared" si="16"/>
        <v>1.5393882604912655E-3</v>
      </c>
      <c r="DP15" s="32"/>
      <c r="DQ15" s="37">
        <f t="shared" si="17"/>
        <v>0.90274725274725276</v>
      </c>
      <c r="DR15" s="37">
        <f t="shared" si="17"/>
        <v>8.4249084249084241E-2</v>
      </c>
      <c r="DS15" s="37">
        <f t="shared" si="18"/>
        <v>1.2087912087912088E-2</v>
      </c>
      <c r="DT15" s="37">
        <f t="shared" si="18"/>
        <v>9.1575091575091575E-4</v>
      </c>
      <c r="DU15" s="32"/>
      <c r="DV15" s="37">
        <f t="shared" si="19"/>
        <v>0.67092266923632871</v>
      </c>
      <c r="DW15" s="37">
        <f t="shared" si="19"/>
        <v>0.29619368826788728</v>
      </c>
      <c r="DX15" s="37">
        <f t="shared" si="20"/>
        <v>3.2883642495784154E-2</v>
      </c>
      <c r="DY15" s="37" t="str">
        <f t="shared" si="20"/>
        <v>-</v>
      </c>
      <c r="DZ15" s="32"/>
      <c r="EA15" s="37" t="str">
        <f t="shared" si="21"/>
        <v>-</v>
      </c>
      <c r="EB15" s="37" t="str">
        <f t="shared" si="21"/>
        <v>-</v>
      </c>
      <c r="EC15" s="37" t="str">
        <f t="shared" si="22"/>
        <v>-</v>
      </c>
      <c r="ED15" s="37" t="str">
        <f t="shared" si="22"/>
        <v>-</v>
      </c>
      <c r="EE15" s="32"/>
      <c r="EF15" s="38">
        <f t="shared" si="23"/>
        <v>7.9391891891891886E-2</v>
      </c>
      <c r="EG15" s="38">
        <f t="shared" si="24"/>
        <v>7.6086956521739149E-2</v>
      </c>
      <c r="EH15" s="38">
        <f t="shared" si="25"/>
        <v>1.2200081333875558E-3</v>
      </c>
      <c r="EI15" s="38" t="str">
        <f t="shared" si="26"/>
        <v>-</v>
      </c>
      <c r="EJ15" s="38">
        <f t="shared" si="27"/>
        <v>4.2746358993758268E-2</v>
      </c>
      <c r="EK15" s="32"/>
      <c r="EL15" s="39">
        <f t="shared" si="28"/>
        <v>1.9286403085824492E-3</v>
      </c>
      <c r="EM15" s="39">
        <f t="shared" si="28"/>
        <v>5.0501229430679015E-2</v>
      </c>
      <c r="EN15" s="39">
        <f t="shared" si="29"/>
        <v>0.20081411126187243</v>
      </c>
      <c r="EO15" s="39" t="str">
        <f t="shared" si="29"/>
        <v>-</v>
      </c>
      <c r="EP15" s="39">
        <f t="shared" si="29"/>
        <v>7.3715420395506336E-3</v>
      </c>
      <c r="ER15" s="39">
        <f t="shared" si="30"/>
        <v>1.2300987593575371E-4</v>
      </c>
      <c r="ES15" s="40">
        <f t="shared" si="30"/>
        <v>6.3344594594594589E-3</v>
      </c>
      <c r="ET15" s="40">
        <f t="shared" si="31"/>
        <v>7.2864321608040197E-2</v>
      </c>
      <c r="EU15" s="40" t="str">
        <f t="shared" si="31"/>
        <v>-</v>
      </c>
      <c r="EV15" s="40">
        <f t="shared" si="31"/>
        <v>8.3662405461481821E-4</v>
      </c>
      <c r="EW15" s="32"/>
      <c r="EX15" s="39">
        <f t="shared" si="32"/>
        <v>1.6027591803611279E-2</v>
      </c>
      <c r="EY15" s="40">
        <f t="shared" si="32"/>
        <v>0.24347826086956526</v>
      </c>
      <c r="EZ15" s="40">
        <f t="shared" si="33"/>
        <v>0.63636363636363635</v>
      </c>
      <c r="FA15" s="40" t="str">
        <f t="shared" si="33"/>
        <v>-</v>
      </c>
      <c r="FB15" s="40">
        <f t="shared" si="33"/>
        <v>4.230769230769231E-2</v>
      </c>
      <c r="FC15" s="32"/>
      <c r="FD15" s="39">
        <f t="shared" si="34"/>
        <v>7.8994614003590671E-3</v>
      </c>
      <c r="FE15" s="40">
        <f t="shared" si="34"/>
        <v>5.6933712891419276E-2</v>
      </c>
      <c r="FF15" s="40">
        <f t="shared" si="35"/>
        <v>0.28205128205128205</v>
      </c>
      <c r="FG15" s="40" t="str">
        <f t="shared" si="35"/>
        <v>-</v>
      </c>
      <c r="FH15" s="40">
        <f t="shared" si="35"/>
        <v>3.1438207660804622E-2</v>
      </c>
      <c r="FI15" s="32"/>
      <c r="FJ15" s="39" t="str">
        <f t="shared" si="36"/>
        <v>-</v>
      </c>
      <c r="FK15" s="39" t="str">
        <f t="shared" si="36"/>
        <v>-</v>
      </c>
      <c r="FL15" s="39" t="str">
        <f t="shared" si="37"/>
        <v>-</v>
      </c>
      <c r="FM15" s="39" t="str">
        <f t="shared" si="37"/>
        <v>-</v>
      </c>
      <c r="FN15" s="39" t="str">
        <f t="shared" si="37"/>
        <v>-</v>
      </c>
      <c r="FP15" s="56" t="s">
        <v>232</v>
      </c>
      <c r="FQ15" s="56" t="s">
        <v>232</v>
      </c>
      <c r="FR15" s="56" t="s">
        <v>232</v>
      </c>
      <c r="FS15" s="56" t="s">
        <v>232</v>
      </c>
      <c r="FT15" s="57">
        <v>232</v>
      </c>
      <c r="FV15" s="43" t="str">
        <f t="shared" si="39"/>
        <v>-</v>
      </c>
      <c r="FW15" s="43" t="str">
        <f t="shared" si="40"/>
        <v>-</v>
      </c>
      <c r="FX15" s="43" t="str">
        <f t="shared" si="41"/>
        <v>-</v>
      </c>
      <c r="FY15" s="43" t="str">
        <f t="shared" si="42"/>
        <v>-</v>
      </c>
      <c r="FZ15" s="43">
        <f t="shared" si="43"/>
        <v>3.1553464080733341E-3</v>
      </c>
      <c r="GB15" s="56" t="s">
        <v>232</v>
      </c>
      <c r="GC15" s="56" t="s">
        <v>232</v>
      </c>
      <c r="GD15" s="56" t="s">
        <v>232</v>
      </c>
      <c r="GE15" s="56" t="s">
        <v>232</v>
      </c>
      <c r="GF15" s="28">
        <v>69</v>
      </c>
      <c r="GH15" s="43" t="str">
        <f t="shared" si="45"/>
        <v>-</v>
      </c>
      <c r="GI15" s="43" t="str">
        <f t="shared" si="46"/>
        <v>-</v>
      </c>
      <c r="GJ15" s="43" t="str">
        <f t="shared" si="47"/>
        <v>-</v>
      </c>
      <c r="GK15" s="43" t="str">
        <f t="shared" si="48"/>
        <v>-</v>
      </c>
      <c r="GL15" s="43">
        <f t="shared" si="49"/>
        <v>9.3844354378043123E-4</v>
      </c>
      <c r="GN15" s="42">
        <f t="shared" si="54"/>
        <v>397</v>
      </c>
      <c r="GO15">
        <f t="shared" si="55"/>
        <v>72692</v>
      </c>
    </row>
    <row r="16" spans="1:197" x14ac:dyDescent="0.25">
      <c r="A16" s="29" t="s">
        <v>236</v>
      </c>
      <c r="B16" s="29"/>
      <c r="C16" s="10" t="str">
        <f t="shared" si="0"/>
        <v>-</v>
      </c>
      <c r="D16" s="10" t="str">
        <f t="shared" si="0"/>
        <v>-</v>
      </c>
      <c r="E16" s="10" t="str">
        <f t="shared" si="0"/>
        <v>-</v>
      </c>
      <c r="F16" s="10" t="str">
        <f t="shared" si="0"/>
        <v>-</v>
      </c>
      <c r="G16" s="10" t="str">
        <f t="shared" si="0"/>
        <v>-</v>
      </c>
      <c r="H16" s="10" t="str">
        <f t="shared" si="0"/>
        <v>-</v>
      </c>
      <c r="I16" s="10" t="str">
        <f t="shared" si="0"/>
        <v>-</v>
      </c>
      <c r="K16" s="10" t="str">
        <f t="shared" si="1"/>
        <v>-</v>
      </c>
      <c r="L16" s="10" t="str">
        <f t="shared" si="1"/>
        <v>-</v>
      </c>
      <c r="M16" s="10" t="str">
        <f t="shared" si="1"/>
        <v>-</v>
      </c>
      <c r="N16" s="10" t="str">
        <f t="shared" si="1"/>
        <v>-</v>
      </c>
      <c r="O16" s="10" t="str">
        <f t="shared" si="1"/>
        <v>-</v>
      </c>
      <c r="P16" s="10" t="str">
        <f t="shared" si="1"/>
        <v>-</v>
      </c>
      <c r="Q16" s="10" t="str">
        <f t="shared" si="1"/>
        <v>-</v>
      </c>
      <c r="R16" s="30"/>
      <c r="S16" s="46"/>
      <c r="T16" s="46"/>
      <c r="U16" s="34"/>
      <c r="V16" s="34"/>
      <c r="W16" s="46"/>
      <c r="X16" s="46"/>
      <c r="Y16" s="32">
        <f t="shared" si="2"/>
        <v>0</v>
      </c>
      <c r="Z16" s="32"/>
      <c r="AA16" s="46"/>
      <c r="AB16" s="46"/>
      <c r="AC16" s="34"/>
      <c r="AD16" s="34"/>
      <c r="AE16" s="46"/>
      <c r="AF16" s="46"/>
      <c r="AG16" s="32">
        <f t="shared" si="3"/>
        <v>0</v>
      </c>
      <c r="AH16" s="32"/>
      <c r="AI16" s="46"/>
      <c r="AJ16" s="46"/>
      <c r="AK16" s="34"/>
      <c r="AL16" s="34"/>
      <c r="AM16" s="46"/>
      <c r="AN16" s="46"/>
      <c r="AO16" s="32">
        <f t="shared" si="4"/>
        <v>0</v>
      </c>
      <c r="AP16" s="32"/>
      <c r="AQ16" s="46"/>
      <c r="AR16" s="46"/>
      <c r="AS16" s="46"/>
      <c r="AT16" s="46"/>
      <c r="AU16" s="46"/>
      <c r="AV16" s="46"/>
      <c r="AW16" s="32">
        <f t="shared" si="5"/>
        <v>0</v>
      </c>
      <c r="AX16" s="32"/>
      <c r="AY16" s="31" t="s">
        <v>232</v>
      </c>
      <c r="AZ16" s="31" t="s">
        <v>232</v>
      </c>
      <c r="BA16" s="31" t="s">
        <v>232</v>
      </c>
      <c r="BB16" s="31" t="s">
        <v>232</v>
      </c>
      <c r="BC16" s="31" t="s">
        <v>232</v>
      </c>
      <c r="BD16" s="31" t="s">
        <v>232</v>
      </c>
      <c r="BE16" s="32">
        <f t="shared" si="50"/>
        <v>0</v>
      </c>
      <c r="BF16" s="32"/>
      <c r="BG16" s="10" t="str">
        <f t="shared" si="51"/>
        <v>-</v>
      </c>
      <c r="BH16" s="10" t="str">
        <f t="shared" si="6"/>
        <v>-</v>
      </c>
      <c r="BI16" s="10" t="str">
        <f t="shared" si="7"/>
        <v>-</v>
      </c>
      <c r="BJ16" s="10" t="str">
        <f t="shared" si="7"/>
        <v>-</v>
      </c>
      <c r="BK16" s="10" t="str">
        <f t="shared" si="7"/>
        <v>-</v>
      </c>
      <c r="BM16" s="10" t="str">
        <f t="shared" si="8"/>
        <v>-</v>
      </c>
      <c r="BN16" s="10" t="str">
        <f t="shared" si="8"/>
        <v>-</v>
      </c>
      <c r="BO16" s="10" t="str">
        <f t="shared" si="9"/>
        <v>-</v>
      </c>
      <c r="BP16" s="10" t="str">
        <f t="shared" si="9"/>
        <v>-</v>
      </c>
      <c r="BQ16" s="10" t="str">
        <f t="shared" si="9"/>
        <v>-</v>
      </c>
      <c r="BS16" s="46"/>
      <c r="BT16" s="46"/>
      <c r="BU16" s="34"/>
      <c r="BV16" s="34"/>
      <c r="BW16" s="46"/>
      <c r="BX16" s="46"/>
      <c r="BY16" s="32">
        <f t="shared" si="59"/>
        <v>0</v>
      </c>
      <c r="BZ16" s="32"/>
      <c r="CA16" s="46"/>
      <c r="CB16" s="46"/>
      <c r="CC16" s="34"/>
      <c r="CD16" s="34"/>
      <c r="CE16" s="46"/>
      <c r="CF16" s="46"/>
      <c r="CG16" s="32">
        <f t="shared" si="57"/>
        <v>0</v>
      </c>
      <c r="CH16" s="32"/>
      <c r="CI16" s="46"/>
      <c r="CJ16" s="46"/>
      <c r="CK16" s="34"/>
      <c r="CL16" s="34"/>
      <c r="CM16" s="46"/>
      <c r="CN16" s="46"/>
      <c r="CO16" s="32">
        <f t="shared" si="58"/>
        <v>0</v>
      </c>
      <c r="CP16" s="32"/>
      <c r="CQ16" s="46"/>
      <c r="CR16" s="46"/>
      <c r="CS16" s="34"/>
      <c r="CT16" s="34"/>
      <c r="CU16" s="46"/>
      <c r="CV16" s="46"/>
      <c r="CW16" s="32">
        <f t="shared" si="60"/>
        <v>0</v>
      </c>
      <c r="CX16" s="32"/>
      <c r="CY16" s="31" t="s">
        <v>232</v>
      </c>
      <c r="CZ16" s="31" t="s">
        <v>232</v>
      </c>
      <c r="DA16" s="31" t="s">
        <v>232</v>
      </c>
      <c r="DB16" s="31" t="s">
        <v>232</v>
      </c>
      <c r="DC16" s="31" t="s">
        <v>232</v>
      </c>
      <c r="DD16" s="31" t="s">
        <v>232</v>
      </c>
      <c r="DE16" s="32">
        <f t="shared" si="12"/>
        <v>0</v>
      </c>
      <c r="DF16" s="32"/>
      <c r="DG16" s="37" t="str">
        <f t="shared" si="13"/>
        <v>-</v>
      </c>
      <c r="DH16" s="37" t="str">
        <f t="shared" si="13"/>
        <v>-</v>
      </c>
      <c r="DI16" s="37" t="str">
        <f t="shared" si="14"/>
        <v>-</v>
      </c>
      <c r="DJ16" s="37" t="str">
        <f t="shared" si="14"/>
        <v>-</v>
      </c>
      <c r="DK16" s="32"/>
      <c r="DL16" s="37" t="str">
        <f t="shared" si="15"/>
        <v>-</v>
      </c>
      <c r="DM16" s="37" t="str">
        <f t="shared" si="15"/>
        <v>-</v>
      </c>
      <c r="DN16" s="37" t="str">
        <f t="shared" si="16"/>
        <v>-</v>
      </c>
      <c r="DO16" s="37" t="str">
        <f t="shared" si="16"/>
        <v>-</v>
      </c>
      <c r="DP16" s="32"/>
      <c r="DQ16" s="37" t="str">
        <f t="shared" si="17"/>
        <v>-</v>
      </c>
      <c r="DR16" s="37" t="str">
        <f t="shared" si="17"/>
        <v>-</v>
      </c>
      <c r="DS16" s="37" t="str">
        <f t="shared" si="18"/>
        <v>-</v>
      </c>
      <c r="DT16" s="37" t="str">
        <f t="shared" si="18"/>
        <v>-</v>
      </c>
      <c r="DU16" s="32"/>
      <c r="DV16" s="37" t="str">
        <f t="shared" si="19"/>
        <v>-</v>
      </c>
      <c r="DW16" s="37" t="str">
        <f t="shared" si="19"/>
        <v>-</v>
      </c>
      <c r="DX16" s="37" t="str">
        <f t="shared" si="20"/>
        <v>-</v>
      </c>
      <c r="DY16" s="37" t="str">
        <f t="shared" si="20"/>
        <v>-</v>
      </c>
      <c r="DZ16" s="32"/>
      <c r="EA16" s="37" t="str">
        <f t="shared" si="21"/>
        <v>-</v>
      </c>
      <c r="EB16" s="37" t="str">
        <f t="shared" si="21"/>
        <v>-</v>
      </c>
      <c r="EC16" s="37" t="str">
        <f t="shared" si="22"/>
        <v>-</v>
      </c>
      <c r="ED16" s="37" t="str">
        <f t="shared" si="22"/>
        <v>-</v>
      </c>
      <c r="EE16" s="32"/>
      <c r="EF16" s="38" t="str">
        <f t="shared" si="23"/>
        <v>-</v>
      </c>
      <c r="EG16" s="38" t="str">
        <f t="shared" si="24"/>
        <v>-</v>
      </c>
      <c r="EH16" s="38" t="str">
        <f t="shared" si="25"/>
        <v>-</v>
      </c>
      <c r="EI16" s="38" t="str">
        <f t="shared" si="26"/>
        <v>-</v>
      </c>
      <c r="EJ16" s="38" t="str">
        <f t="shared" si="27"/>
        <v>-</v>
      </c>
      <c r="EK16" s="32"/>
      <c r="EL16" s="39" t="str">
        <f t="shared" si="28"/>
        <v>-</v>
      </c>
      <c r="EM16" s="39" t="str">
        <f t="shared" si="28"/>
        <v>-</v>
      </c>
      <c r="EN16" s="39" t="str">
        <f t="shared" si="29"/>
        <v>-</v>
      </c>
      <c r="EO16" s="39" t="str">
        <f t="shared" si="29"/>
        <v>-</v>
      </c>
      <c r="EP16" s="39" t="str">
        <f t="shared" si="29"/>
        <v>-</v>
      </c>
      <c r="ER16" s="39" t="str">
        <f t="shared" si="30"/>
        <v>-</v>
      </c>
      <c r="ES16" s="40" t="str">
        <f t="shared" si="30"/>
        <v>-</v>
      </c>
      <c r="ET16" s="40" t="str">
        <f t="shared" si="31"/>
        <v>-</v>
      </c>
      <c r="EU16" s="40" t="str">
        <f t="shared" si="31"/>
        <v>-</v>
      </c>
      <c r="EV16" s="40" t="str">
        <f t="shared" si="31"/>
        <v>-</v>
      </c>
      <c r="EW16" s="32"/>
      <c r="EX16" s="39" t="str">
        <f t="shared" si="32"/>
        <v>-</v>
      </c>
      <c r="EY16" s="40" t="str">
        <f t="shared" si="32"/>
        <v>-</v>
      </c>
      <c r="EZ16" s="40" t="str">
        <f t="shared" si="33"/>
        <v>-</v>
      </c>
      <c r="FA16" s="40" t="str">
        <f t="shared" si="33"/>
        <v>-</v>
      </c>
      <c r="FB16" s="40" t="str">
        <f t="shared" si="33"/>
        <v>-</v>
      </c>
      <c r="FC16" s="32"/>
      <c r="FD16" s="39" t="str">
        <f t="shared" si="34"/>
        <v>-</v>
      </c>
      <c r="FE16" s="40" t="str">
        <f t="shared" si="34"/>
        <v>-</v>
      </c>
      <c r="FF16" s="40" t="str">
        <f t="shared" si="35"/>
        <v>-</v>
      </c>
      <c r="FG16" s="40" t="str">
        <f t="shared" si="35"/>
        <v>-</v>
      </c>
      <c r="FH16" s="40" t="str">
        <f t="shared" si="35"/>
        <v>-</v>
      </c>
      <c r="FI16" s="32"/>
      <c r="FJ16" s="39" t="str">
        <f t="shared" si="36"/>
        <v>-</v>
      </c>
      <c r="FK16" s="39" t="str">
        <f t="shared" si="36"/>
        <v>-</v>
      </c>
      <c r="FL16" s="39" t="str">
        <f t="shared" si="37"/>
        <v>-</v>
      </c>
      <c r="FM16" s="39" t="str">
        <f t="shared" si="37"/>
        <v>-</v>
      </c>
      <c r="FN16" s="39" t="str">
        <f t="shared" si="37"/>
        <v>-</v>
      </c>
      <c r="FV16" s="43" t="str">
        <f t="shared" si="39"/>
        <v>-</v>
      </c>
      <c r="FW16" s="43" t="str">
        <f t="shared" si="40"/>
        <v>-</v>
      </c>
      <c r="FX16" s="43" t="str">
        <f t="shared" si="41"/>
        <v>-</v>
      </c>
      <c r="FY16" s="43" t="str">
        <f t="shared" si="42"/>
        <v>-</v>
      </c>
      <c r="FZ16" s="43" t="str">
        <f t="shared" si="43"/>
        <v>-</v>
      </c>
      <c r="GF16" s="28" t="str">
        <f t="shared" ref="GF16:GF20" si="61">IF(SUM(GB16:GE16)=0,"-",SUM(GB16:GE16))</f>
        <v>-</v>
      </c>
      <c r="GH16" s="43" t="str">
        <f t="shared" si="45"/>
        <v>-</v>
      </c>
      <c r="GI16" s="43" t="str">
        <f t="shared" si="46"/>
        <v>-</v>
      </c>
      <c r="GJ16" s="43" t="str">
        <f t="shared" si="47"/>
        <v>-</v>
      </c>
      <c r="GK16" s="43" t="str">
        <f t="shared" si="48"/>
        <v>-</v>
      </c>
      <c r="GL16" s="43" t="str">
        <f t="shared" si="49"/>
        <v>-</v>
      </c>
      <c r="GN16" s="42">
        <f t="shared" si="54"/>
        <v>0</v>
      </c>
      <c r="GO16">
        <f t="shared" si="55"/>
        <v>0</v>
      </c>
    </row>
    <row r="17" spans="1:197" x14ac:dyDescent="0.25">
      <c r="A17" s="29" t="s">
        <v>237</v>
      </c>
      <c r="B17" s="29"/>
      <c r="C17" s="10">
        <f t="shared" si="0"/>
        <v>16.0517</v>
      </c>
      <c r="D17" s="10">
        <f t="shared" si="0"/>
        <v>2.4518</v>
      </c>
      <c r="E17" s="10" t="str">
        <f t="shared" si="0"/>
        <v>-</v>
      </c>
      <c r="F17" s="10" t="str">
        <f t="shared" si="0"/>
        <v>-</v>
      </c>
      <c r="G17" s="10">
        <f t="shared" si="0"/>
        <v>6.7799999999999999E-2</v>
      </c>
      <c r="H17" s="10">
        <f t="shared" si="0"/>
        <v>9.2299999999999993E-2</v>
      </c>
      <c r="I17" s="10">
        <f t="shared" si="0"/>
        <v>18.663599999999999</v>
      </c>
      <c r="K17" s="10">
        <f t="shared" si="1"/>
        <v>16.0517</v>
      </c>
      <c r="L17" s="10">
        <f t="shared" si="1"/>
        <v>2.4518</v>
      </c>
      <c r="M17" s="10" t="str">
        <f t="shared" si="1"/>
        <v>-</v>
      </c>
      <c r="N17" s="10" t="str">
        <f t="shared" si="1"/>
        <v>-</v>
      </c>
      <c r="O17" s="10">
        <f t="shared" si="1"/>
        <v>6.7799999999999999E-2</v>
      </c>
      <c r="P17" s="10">
        <f t="shared" si="1"/>
        <v>9.2299999999999993E-2</v>
      </c>
      <c r="Q17" s="10">
        <f t="shared" si="1"/>
        <v>18.663599999999999</v>
      </c>
      <c r="R17" s="30"/>
      <c r="S17" s="62">
        <f>16.6275*'[4]2H19'!S18/'[4]2H19'!Y18</f>
        <v>15.820969968393991</v>
      </c>
      <c r="T17" s="46">
        <f>16.6275*'[4]2H19'!T18/'[4]2H19'!Y18</f>
        <v>0.65877404356440328</v>
      </c>
      <c r="U17" s="34" t="s">
        <v>232</v>
      </c>
      <c r="V17" s="34" t="s">
        <v>232</v>
      </c>
      <c r="W17" s="46">
        <f>16.6275*'[4]2H19'!W18/'[4]2H19'!Y18</f>
        <v>5.37294501969479E-2</v>
      </c>
      <c r="X17" s="46">
        <f>16.6275*'[4]2H19'!X18/'[4]2H19'!Y18</f>
        <v>9.4026537844658836E-2</v>
      </c>
      <c r="Y17" s="32">
        <f t="shared" si="2"/>
        <v>16.627500000000001</v>
      </c>
      <c r="Z17" s="32"/>
      <c r="AA17" s="62">
        <f>15.9676-S17</f>
        <v>0.14663003160600852</v>
      </c>
      <c r="AB17" s="46">
        <f>2.1447-T17</f>
        <v>1.4859259564355964</v>
      </c>
      <c r="AC17" s="34" t="s">
        <v>232</v>
      </c>
      <c r="AD17" s="34" t="s">
        <v>232</v>
      </c>
      <c r="AE17" s="46">
        <f>0.0623-W17</f>
        <v>8.5705498030521007E-3</v>
      </c>
      <c r="AF17" s="46">
        <f>0.0923-X17</f>
        <v>-1.7265378446588431E-3</v>
      </c>
      <c r="AG17" s="32">
        <f t="shared" si="3"/>
        <v>1.6393999999999982</v>
      </c>
      <c r="AH17" s="32"/>
      <c r="AI17" s="46">
        <v>8.4099999999999994E-2</v>
      </c>
      <c r="AJ17" s="46">
        <v>0.30709999999999998</v>
      </c>
      <c r="AK17" s="34" t="s">
        <v>232</v>
      </c>
      <c r="AL17" s="34" t="s">
        <v>232</v>
      </c>
      <c r="AM17" s="46">
        <v>5.4999999999999997E-3</v>
      </c>
      <c r="AN17" s="46">
        <v>0</v>
      </c>
      <c r="AO17" s="32">
        <f t="shared" si="4"/>
        <v>0.3967</v>
      </c>
      <c r="AP17" s="32"/>
      <c r="AQ17" s="31" t="s">
        <v>232</v>
      </c>
      <c r="AR17" s="31" t="s">
        <v>232</v>
      </c>
      <c r="AS17" s="31" t="s">
        <v>232</v>
      </c>
      <c r="AT17" s="31" t="s">
        <v>232</v>
      </c>
      <c r="AU17" s="31" t="s">
        <v>232</v>
      </c>
      <c r="AV17" s="31" t="s">
        <v>232</v>
      </c>
      <c r="AW17" s="32">
        <f t="shared" si="5"/>
        <v>0</v>
      </c>
      <c r="AX17" s="32"/>
      <c r="AY17" s="31" t="s">
        <v>232</v>
      </c>
      <c r="AZ17" s="31" t="s">
        <v>232</v>
      </c>
      <c r="BA17" s="31" t="s">
        <v>232</v>
      </c>
      <c r="BB17" s="31" t="s">
        <v>232</v>
      </c>
      <c r="BC17" s="31" t="s">
        <v>232</v>
      </c>
      <c r="BD17" s="31" t="s">
        <v>232</v>
      </c>
      <c r="BE17" s="32">
        <f t="shared" si="50"/>
        <v>0</v>
      </c>
      <c r="BF17" s="32"/>
      <c r="BG17" s="10">
        <f t="shared" si="51"/>
        <v>10.61</v>
      </c>
      <c r="BH17" s="10">
        <f t="shared" si="6"/>
        <v>10.600000000000001</v>
      </c>
      <c r="BI17" s="10">
        <f t="shared" si="7"/>
        <v>10.199999999999999</v>
      </c>
      <c r="BJ17" s="10">
        <f t="shared" si="7"/>
        <v>0.2</v>
      </c>
      <c r="BK17" s="10">
        <f t="shared" si="7"/>
        <v>31.610000000000003</v>
      </c>
      <c r="BM17" s="10">
        <f t="shared" si="8"/>
        <v>8.1</v>
      </c>
      <c r="BN17" s="10">
        <f t="shared" si="8"/>
        <v>10.600000000000001</v>
      </c>
      <c r="BO17" s="10">
        <f t="shared" si="9"/>
        <v>10.199999999999999</v>
      </c>
      <c r="BP17" s="10">
        <f t="shared" si="9"/>
        <v>0.2</v>
      </c>
      <c r="BQ17" s="10">
        <f t="shared" si="9"/>
        <v>29.1</v>
      </c>
      <c r="BS17" s="46">
        <f>7.1-CA17</f>
        <v>4.5340425531914903</v>
      </c>
      <c r="BT17" s="46">
        <f>8.4-CB17</f>
        <v>4.6936170212765962</v>
      </c>
      <c r="BU17" s="34" t="s">
        <v>232</v>
      </c>
      <c r="BV17" s="34" t="s">
        <v>232</v>
      </c>
      <c r="BW17" s="46">
        <f>5.7-CE17</f>
        <v>-1.285106382978725</v>
      </c>
      <c r="BX17" s="46">
        <f>0.2-CF17</f>
        <v>5.744680851063827E-2</v>
      </c>
      <c r="BY17" s="32">
        <f t="shared" si="59"/>
        <v>8</v>
      </c>
      <c r="BZ17" s="32"/>
      <c r="CA17" s="46">
        <f>13.4*'[4]2H19'!CA18/'[4]2H19'!CG18</f>
        <v>2.5659574468085098</v>
      </c>
      <c r="CB17" s="46">
        <f>13.4*'[4]2H19'!CB18/'[4]2H19'!CG18</f>
        <v>3.7063829787234046</v>
      </c>
      <c r="CC17" s="34" t="s">
        <v>232</v>
      </c>
      <c r="CD17" s="34" t="s">
        <v>232</v>
      </c>
      <c r="CE17" s="46">
        <f>13.4*'[4]2H19'!CE18/'[4]2H19'!CG18</f>
        <v>6.9851063829787252</v>
      </c>
      <c r="CF17" s="46">
        <f>13.4*'[4]2H19'!CF18/'[4]2H19'!CG18</f>
        <v>0.14255319148936174</v>
      </c>
      <c r="CG17" s="32">
        <f t="shared" si="57"/>
        <v>13.400000000000002</v>
      </c>
      <c r="CH17" s="32"/>
      <c r="CI17" s="46">
        <v>1</v>
      </c>
      <c r="CJ17" s="46">
        <v>2.2000000000000002</v>
      </c>
      <c r="CK17" s="34" t="s">
        <v>232</v>
      </c>
      <c r="CL17" s="34" t="s">
        <v>232</v>
      </c>
      <c r="CM17" s="46">
        <v>4.5</v>
      </c>
      <c r="CN17" s="46">
        <v>0</v>
      </c>
      <c r="CO17" s="32">
        <f t="shared" si="58"/>
        <v>7.7</v>
      </c>
      <c r="CP17" s="32"/>
      <c r="CQ17" s="31" t="s">
        <v>232</v>
      </c>
      <c r="CR17" s="31" t="s">
        <v>232</v>
      </c>
      <c r="CS17" s="31" t="s">
        <v>232</v>
      </c>
      <c r="CT17" s="31" t="s">
        <v>232</v>
      </c>
      <c r="CU17" s="31" t="s">
        <v>232</v>
      </c>
      <c r="CV17" s="31" t="s">
        <v>232</v>
      </c>
      <c r="CW17" s="32">
        <f t="shared" si="60"/>
        <v>0</v>
      </c>
      <c r="CX17" s="32"/>
      <c r="CY17" s="31">
        <f>0.587+1.5551+0.3216+0.0463</f>
        <v>2.5100000000000002</v>
      </c>
      <c r="CZ17" s="31" t="s">
        <v>232</v>
      </c>
      <c r="DA17" s="31" t="s">
        <v>232</v>
      </c>
      <c r="DB17" s="31" t="s">
        <v>232</v>
      </c>
      <c r="DC17" s="31" t="s">
        <v>232</v>
      </c>
      <c r="DD17" s="31" t="s">
        <v>232</v>
      </c>
      <c r="DE17" s="32">
        <f t="shared" si="12"/>
        <v>2.5100000000000002</v>
      </c>
      <c r="DF17" s="32"/>
      <c r="DG17" s="37">
        <f t="shared" si="13"/>
        <v>0.86005379455196218</v>
      </c>
      <c r="DH17" s="37">
        <f t="shared" si="13"/>
        <v>0.1313680104588611</v>
      </c>
      <c r="DI17" s="37">
        <f t="shared" si="14"/>
        <v>3.6327396643734329E-3</v>
      </c>
      <c r="DJ17" s="37">
        <f t="shared" si="14"/>
        <v>4.9454553248033601E-3</v>
      </c>
      <c r="DK17" s="32"/>
      <c r="DL17" s="37">
        <f t="shared" si="15"/>
        <v>0.95149420949595487</v>
      </c>
      <c r="DM17" s="37">
        <f t="shared" si="15"/>
        <v>3.9619548552963658E-2</v>
      </c>
      <c r="DN17" s="37">
        <f t="shared" si="16"/>
        <v>3.2313607094841615E-3</v>
      </c>
      <c r="DO17" s="37">
        <f t="shared" si="16"/>
        <v>5.6548812415972835E-3</v>
      </c>
      <c r="DP17" s="32"/>
      <c r="DQ17" s="37">
        <f t="shared" si="17"/>
        <v>8.9441278276203906E-2</v>
      </c>
      <c r="DR17" s="37">
        <f>IF(ISERROR(AB17/$AG17),"-",IF(AB17/$AG17&lt;=0,"-",AB17/$AG17))</f>
        <v>0.90638401636915833</v>
      </c>
      <c r="DS17" s="37">
        <f t="shared" si="18"/>
        <v>5.2278576327022749E-3</v>
      </c>
      <c r="DT17" s="37" t="str">
        <f t="shared" si="18"/>
        <v>-</v>
      </c>
      <c r="DU17" s="32"/>
      <c r="DV17" s="37">
        <f t="shared" si="19"/>
        <v>0.21199899168137129</v>
      </c>
      <c r="DW17" s="37">
        <f t="shared" si="19"/>
        <v>0.77413662717418696</v>
      </c>
      <c r="DX17" s="37">
        <f t="shared" si="20"/>
        <v>1.3864381144441643E-2</v>
      </c>
      <c r="DY17" s="37" t="str">
        <f t="shared" si="20"/>
        <v>-</v>
      </c>
      <c r="DZ17" s="32"/>
      <c r="EA17" s="37" t="str">
        <f t="shared" si="21"/>
        <v>-</v>
      </c>
      <c r="EB17" s="37" t="str">
        <f t="shared" si="21"/>
        <v>-</v>
      </c>
      <c r="EC17" s="37" t="str">
        <f t="shared" si="22"/>
        <v>-</v>
      </c>
      <c r="ED17" s="37" t="str">
        <f t="shared" si="22"/>
        <v>-</v>
      </c>
      <c r="EE17" s="32"/>
      <c r="EF17" s="38" t="str">
        <f t="shared" si="23"/>
        <v>-</v>
      </c>
      <c r="EG17" s="38" t="str">
        <f t="shared" si="24"/>
        <v>-</v>
      </c>
      <c r="EH17" s="38" t="str">
        <f t="shared" si="25"/>
        <v>-</v>
      </c>
      <c r="EI17" s="38" t="str">
        <f t="shared" si="26"/>
        <v>-</v>
      </c>
      <c r="EJ17" s="38" t="str">
        <f t="shared" si="27"/>
        <v>-</v>
      </c>
      <c r="EK17" s="32"/>
      <c r="EL17" s="39">
        <f t="shared" si="28"/>
        <v>5.0461944840733371E-4</v>
      </c>
      <c r="EM17" s="39">
        <f t="shared" si="28"/>
        <v>4.3233542703320013E-3</v>
      </c>
      <c r="EN17" s="39">
        <f t="shared" si="29"/>
        <v>0.15044247787610618</v>
      </c>
      <c r="EO17" s="39">
        <f t="shared" si="29"/>
        <v>2.1668472372697728E-3</v>
      </c>
      <c r="EP17" s="39">
        <f t="shared" si="29"/>
        <v>1.5591847232045266E-3</v>
      </c>
      <c r="ER17" s="39">
        <f t="shared" si="30"/>
        <v>2.8658436001391055E-4</v>
      </c>
      <c r="ES17" s="40">
        <f t="shared" si="30"/>
        <v>7.1247752808854216E-3</v>
      </c>
      <c r="ET17" s="40" t="str">
        <f t="shared" si="31"/>
        <v>-</v>
      </c>
      <c r="EU17" s="40">
        <f t="shared" si="31"/>
        <v>6.1096377498814317E-4</v>
      </c>
      <c r="EV17" s="40">
        <f t="shared" si="31"/>
        <v>4.8113065704405352E-4</v>
      </c>
      <c r="EW17" s="32"/>
      <c r="EX17" s="39">
        <f t="shared" si="32"/>
        <v>1.7499535522867361E-2</v>
      </c>
      <c r="EY17" s="40">
        <f t="shared" si="32"/>
        <v>2.4943254828216251E-3</v>
      </c>
      <c r="EZ17" s="40">
        <f t="shared" si="33"/>
        <v>0.81501263553608005</v>
      </c>
      <c r="FA17" s="40" t="str">
        <f t="shared" si="33"/>
        <v>-</v>
      </c>
      <c r="FB17" s="40">
        <f t="shared" si="33"/>
        <v>8.1737220934488316E-3</v>
      </c>
      <c r="FC17" s="32"/>
      <c r="FD17" s="39">
        <f t="shared" si="34"/>
        <v>1.189060642092747E-2</v>
      </c>
      <c r="FE17" s="40">
        <f t="shared" si="34"/>
        <v>7.1637902963204176E-3</v>
      </c>
      <c r="FF17" s="40">
        <f t="shared" si="35"/>
        <v>0.81818181818181823</v>
      </c>
      <c r="FG17" s="40" t="str">
        <f t="shared" si="35"/>
        <v>-</v>
      </c>
      <c r="FH17" s="40">
        <f t="shared" si="35"/>
        <v>1.9410133602218303E-2</v>
      </c>
      <c r="FI17" s="32"/>
      <c r="FJ17" s="39" t="str">
        <f t="shared" si="36"/>
        <v>-</v>
      </c>
      <c r="FK17" s="39" t="str">
        <f t="shared" si="36"/>
        <v>-</v>
      </c>
      <c r="FL17" s="39" t="str">
        <f t="shared" si="37"/>
        <v>-</v>
      </c>
      <c r="FM17" s="39" t="str">
        <f t="shared" si="37"/>
        <v>-</v>
      </c>
      <c r="FN17" s="39" t="str">
        <f t="shared" si="37"/>
        <v>-</v>
      </c>
      <c r="FT17" s="42">
        <v>11.2</v>
      </c>
      <c r="FV17" s="43" t="str">
        <f t="shared" si="39"/>
        <v>-</v>
      </c>
      <c r="FW17" s="43" t="str">
        <f t="shared" si="40"/>
        <v>-</v>
      </c>
      <c r="FX17" s="43" t="str">
        <f t="shared" si="41"/>
        <v>-</v>
      </c>
      <c r="FY17" s="43" t="str">
        <f t="shared" si="42"/>
        <v>-</v>
      </c>
      <c r="FZ17" s="43">
        <f t="shared" si="43"/>
        <v>6.0009858762510979E-4</v>
      </c>
      <c r="GF17" s="28" t="str">
        <f t="shared" si="61"/>
        <v>-</v>
      </c>
      <c r="GH17" s="43" t="str">
        <f t="shared" si="45"/>
        <v>-</v>
      </c>
      <c r="GI17" s="43" t="str">
        <f t="shared" si="46"/>
        <v>-</v>
      </c>
      <c r="GJ17" s="43" t="str">
        <f t="shared" si="47"/>
        <v>-</v>
      </c>
      <c r="GK17" s="43" t="str">
        <f t="shared" si="48"/>
        <v>-</v>
      </c>
      <c r="GL17" s="43" t="str">
        <f t="shared" si="49"/>
        <v>-</v>
      </c>
      <c r="GN17" s="42">
        <f t="shared" si="54"/>
        <v>21.21</v>
      </c>
      <c r="GO17">
        <f t="shared" si="55"/>
        <v>18503.5</v>
      </c>
    </row>
    <row r="18" spans="1:197" x14ac:dyDescent="0.25">
      <c r="A18" s="29" t="s">
        <v>238</v>
      </c>
      <c r="B18" s="29"/>
      <c r="C18" s="10">
        <f t="shared" si="0"/>
        <v>18.587900000000001</v>
      </c>
      <c r="D18" s="10">
        <f t="shared" si="0"/>
        <v>2.3153000000000001</v>
      </c>
      <c r="E18" s="10">
        <f t="shared" si="0"/>
        <v>2.1608999999999998</v>
      </c>
      <c r="F18" s="10">
        <f t="shared" si="0"/>
        <v>0.1512</v>
      </c>
      <c r="G18" s="10">
        <f t="shared" si="0"/>
        <v>9.4E-2</v>
      </c>
      <c r="H18" s="10" t="str">
        <f t="shared" si="0"/>
        <v>-</v>
      </c>
      <c r="I18" s="10">
        <f t="shared" si="0"/>
        <v>20.997199999999999</v>
      </c>
      <c r="K18" s="10">
        <f t="shared" si="1"/>
        <v>18.587900000000001</v>
      </c>
      <c r="L18" s="10">
        <f t="shared" si="1"/>
        <v>2.3153000000000001</v>
      </c>
      <c r="M18" s="10">
        <f t="shared" si="1"/>
        <v>2.1608999999999998</v>
      </c>
      <c r="N18" s="10">
        <f t="shared" si="1"/>
        <v>0.1512</v>
      </c>
      <c r="O18" s="10">
        <f t="shared" si="1"/>
        <v>9.4E-2</v>
      </c>
      <c r="P18" s="10" t="str">
        <f t="shared" si="1"/>
        <v>-</v>
      </c>
      <c r="Q18" s="10">
        <f t="shared" si="1"/>
        <v>20.997199999999999</v>
      </c>
      <c r="R18" s="30"/>
      <c r="S18" s="46">
        <v>18.3475</v>
      </c>
      <c r="T18" s="46">
        <v>2.1757</v>
      </c>
      <c r="U18" s="46">
        <v>2.0587</v>
      </c>
      <c r="V18" s="46">
        <f>2.1757-2.0587</f>
        <v>0.11699999999999999</v>
      </c>
      <c r="W18" s="46">
        <v>7.9100000000000004E-2</v>
      </c>
      <c r="X18" s="46">
        <v>0</v>
      </c>
      <c r="Y18" s="32">
        <f t="shared" si="2"/>
        <v>20.6023</v>
      </c>
      <c r="Z18" s="32"/>
      <c r="AA18" s="34"/>
      <c r="AB18" s="34"/>
      <c r="AC18" s="34"/>
      <c r="AD18" s="34"/>
      <c r="AE18" s="34"/>
      <c r="AF18" s="34"/>
      <c r="AG18" s="32">
        <f t="shared" si="3"/>
        <v>0</v>
      </c>
      <c r="AH18" s="32"/>
      <c r="AI18" s="46">
        <v>7.7899999999999997E-2</v>
      </c>
      <c r="AJ18" s="46">
        <v>0.13639999999999999</v>
      </c>
      <c r="AK18" s="34">
        <v>0.1022</v>
      </c>
      <c r="AL18" s="34">
        <f>0.1364-0.1022</f>
        <v>3.4199999999999994E-2</v>
      </c>
      <c r="AM18" s="46">
        <v>1.49E-2</v>
      </c>
      <c r="AN18" s="46">
        <v>0</v>
      </c>
      <c r="AO18" s="32">
        <f t="shared" si="4"/>
        <v>0.22919999999999999</v>
      </c>
      <c r="AP18" s="32"/>
      <c r="AQ18" s="34">
        <f>AW18*'[4]2H19'!AQ19/'[4]2H19'!AW19</f>
        <v>0.16250000000000001</v>
      </c>
      <c r="AR18" s="34">
        <f>AW18*'[4]2H19'!AR19/'[4]2H19'!AW19</f>
        <v>3.2000000000000002E-3</v>
      </c>
      <c r="AS18" s="31" t="s">
        <v>232</v>
      </c>
      <c r="AT18" s="31" t="s">
        <v>232</v>
      </c>
      <c r="AU18" s="34">
        <v>0</v>
      </c>
      <c r="AV18" s="34">
        <v>0</v>
      </c>
      <c r="AW18" s="32">
        <f>0.0979+0.0678</f>
        <v>0.16570000000000001</v>
      </c>
      <c r="AX18" s="32"/>
      <c r="AY18" s="31" t="s">
        <v>232</v>
      </c>
      <c r="AZ18" s="31" t="s">
        <v>232</v>
      </c>
      <c r="BA18" s="31" t="s">
        <v>232</v>
      </c>
      <c r="BB18" s="31" t="s">
        <v>232</v>
      </c>
      <c r="BC18" s="31" t="s">
        <v>232</v>
      </c>
      <c r="BD18" s="31" t="s">
        <v>232</v>
      </c>
      <c r="BE18" s="32">
        <f t="shared" si="50"/>
        <v>0</v>
      </c>
      <c r="BF18" s="32"/>
      <c r="BG18" s="10">
        <f t="shared" si="51"/>
        <v>2.7</v>
      </c>
      <c r="BH18" s="10">
        <f t="shared" si="6"/>
        <v>15.500000000000002</v>
      </c>
      <c r="BI18" s="10">
        <f t="shared" si="7"/>
        <v>5.8000000000000007</v>
      </c>
      <c r="BJ18" s="10" t="str">
        <f t="shared" si="7"/>
        <v>-</v>
      </c>
      <c r="BK18" s="10">
        <f t="shared" si="7"/>
        <v>24</v>
      </c>
      <c r="BM18" s="10">
        <f t="shared" si="8"/>
        <v>2.7</v>
      </c>
      <c r="BN18" s="10">
        <f t="shared" si="8"/>
        <v>15.500000000000002</v>
      </c>
      <c r="BO18" s="10">
        <f t="shared" si="9"/>
        <v>5.8000000000000007</v>
      </c>
      <c r="BP18" s="10" t="str">
        <f t="shared" si="9"/>
        <v>-</v>
      </c>
      <c r="BQ18" s="10">
        <f t="shared" si="9"/>
        <v>24</v>
      </c>
      <c r="BS18" s="46">
        <v>2.6</v>
      </c>
      <c r="BT18" s="46">
        <v>4.4000000000000004</v>
      </c>
      <c r="BU18" s="34" t="s">
        <v>232</v>
      </c>
      <c r="BV18" s="34" t="s">
        <v>232</v>
      </c>
      <c r="BW18" s="46">
        <v>2.7</v>
      </c>
      <c r="BX18" s="46">
        <v>0</v>
      </c>
      <c r="BY18" s="32">
        <f t="shared" si="59"/>
        <v>9.6999999999999993</v>
      </c>
      <c r="BZ18" s="32"/>
      <c r="CA18" s="34"/>
      <c r="CB18" s="34"/>
      <c r="CC18" s="34"/>
      <c r="CD18" s="34"/>
      <c r="CE18" s="34"/>
      <c r="CF18" s="34"/>
      <c r="CG18" s="32">
        <f t="shared" si="57"/>
        <v>0</v>
      </c>
      <c r="CH18" s="32"/>
      <c r="CI18" s="46">
        <v>0.1</v>
      </c>
      <c r="CJ18" s="46">
        <v>10.3</v>
      </c>
      <c r="CK18" s="34" t="s">
        <v>232</v>
      </c>
      <c r="CL18" s="34" t="s">
        <v>232</v>
      </c>
      <c r="CM18" s="46">
        <v>3.1</v>
      </c>
      <c r="CN18" s="46">
        <v>0</v>
      </c>
      <c r="CO18" s="32">
        <f t="shared" si="58"/>
        <v>13.5</v>
      </c>
      <c r="CP18" s="32"/>
      <c r="CQ18" s="31" t="s">
        <v>232</v>
      </c>
      <c r="CR18" s="46">
        <v>0.8</v>
      </c>
      <c r="CS18" s="31" t="s">
        <v>232</v>
      </c>
      <c r="CT18" s="31" t="s">
        <v>232</v>
      </c>
      <c r="CU18" s="31" t="s">
        <v>232</v>
      </c>
      <c r="CV18" s="31" t="s">
        <v>232</v>
      </c>
      <c r="CW18" s="32">
        <f t="shared" si="60"/>
        <v>0.8</v>
      </c>
      <c r="CX18" s="32"/>
      <c r="CY18" s="31" t="s">
        <v>232</v>
      </c>
      <c r="CZ18" s="31" t="s">
        <v>232</v>
      </c>
      <c r="DA18" s="31" t="s">
        <v>232</v>
      </c>
      <c r="DB18" s="31" t="s">
        <v>232</v>
      </c>
      <c r="DC18" s="31" t="s">
        <v>232</v>
      </c>
      <c r="DD18" s="31" t="s">
        <v>232</v>
      </c>
      <c r="DE18" s="32">
        <f t="shared" si="12"/>
        <v>0</v>
      </c>
      <c r="DF18" s="32"/>
      <c r="DG18" s="37">
        <f t="shared" si="13"/>
        <v>0.88525612938868048</v>
      </c>
      <c r="DH18" s="37">
        <f t="shared" si="13"/>
        <v>0.11026708323014497</v>
      </c>
      <c r="DI18" s="37">
        <f t="shared" si="14"/>
        <v>4.476787381174633E-3</v>
      </c>
      <c r="DJ18" s="37" t="str">
        <f t="shared" si="14"/>
        <v>-</v>
      </c>
      <c r="DK18" s="32"/>
      <c r="DL18" s="37">
        <f t="shared" si="15"/>
        <v>0.89055590880629831</v>
      </c>
      <c r="DM18" s="37">
        <f t="shared" si="15"/>
        <v>0.1056047140367823</v>
      </c>
      <c r="DN18" s="37">
        <f t="shared" si="16"/>
        <v>3.8393771569193735E-3</v>
      </c>
      <c r="DO18" s="37" t="str">
        <f t="shared" si="16"/>
        <v>-</v>
      </c>
      <c r="DP18" s="32"/>
      <c r="DQ18" s="37" t="str">
        <f t="shared" si="17"/>
        <v>-</v>
      </c>
      <c r="DR18" s="37" t="str">
        <f t="shared" si="17"/>
        <v>-</v>
      </c>
      <c r="DS18" s="37" t="str">
        <f t="shared" si="18"/>
        <v>-</v>
      </c>
      <c r="DT18" s="37" t="str">
        <f t="shared" si="18"/>
        <v>-</v>
      </c>
      <c r="DU18" s="32"/>
      <c r="DV18" s="37">
        <f t="shared" si="19"/>
        <v>0.33987783595113441</v>
      </c>
      <c r="DW18" s="37">
        <f t="shared" si="19"/>
        <v>0.5951134380453752</v>
      </c>
      <c r="DX18" s="37">
        <f t="shared" si="20"/>
        <v>6.5008726003490405E-2</v>
      </c>
      <c r="DY18" s="37" t="str">
        <f t="shared" si="20"/>
        <v>-</v>
      </c>
      <c r="DZ18" s="32"/>
      <c r="EA18" s="37">
        <f t="shared" si="21"/>
        <v>0.98068799034399512</v>
      </c>
      <c r="EB18" s="37">
        <f t="shared" si="21"/>
        <v>1.9312009656004828E-2</v>
      </c>
      <c r="EC18" s="37" t="str">
        <f t="shared" si="22"/>
        <v>-</v>
      </c>
      <c r="ED18" s="37" t="str">
        <f t="shared" si="22"/>
        <v>-</v>
      </c>
      <c r="EE18" s="32"/>
      <c r="EF18" s="38">
        <f t="shared" si="23"/>
        <v>5.3775796295445141E-2</v>
      </c>
      <c r="EG18" s="38" t="str">
        <f t="shared" si="24"/>
        <v>-</v>
      </c>
      <c r="EH18" s="38">
        <f t="shared" si="25"/>
        <v>0.25073313782991197</v>
      </c>
      <c r="EI18" s="38" t="str">
        <f t="shared" si="26"/>
        <v>-</v>
      </c>
      <c r="EJ18" s="38">
        <f t="shared" si="27"/>
        <v>6.5304712132337059E-2</v>
      </c>
      <c r="EK18" s="32"/>
      <c r="EL18" s="39">
        <f t="shared" si="28"/>
        <v>1.4525578467712867E-4</v>
      </c>
      <c r="EM18" s="39">
        <f t="shared" si="28"/>
        <v>6.6945968125080987E-3</v>
      </c>
      <c r="EN18" s="39">
        <f t="shared" si="29"/>
        <v>6.1702127659574474E-2</v>
      </c>
      <c r="EO18" s="39" t="str">
        <f t="shared" si="29"/>
        <v>-</v>
      </c>
      <c r="EP18" s="39">
        <f t="shared" si="29"/>
        <v>1.1430095441296935E-3</v>
      </c>
      <c r="ER18" s="39">
        <f t="shared" si="30"/>
        <v>1.4170867965662898E-4</v>
      </c>
      <c r="ES18" s="40">
        <f t="shared" si="30"/>
        <v>2.0223376384611849E-3</v>
      </c>
      <c r="ET18" s="40">
        <f t="shared" si="31"/>
        <v>3.4134007585335017E-2</v>
      </c>
      <c r="EU18" s="40" t="str">
        <f t="shared" si="31"/>
        <v>-</v>
      </c>
      <c r="EV18" s="40">
        <f t="shared" si="31"/>
        <v>4.7082121899011273E-4</v>
      </c>
      <c r="EW18" s="32"/>
      <c r="EX18" s="39" t="str">
        <f t="shared" si="32"/>
        <v>-</v>
      </c>
      <c r="EY18" s="40" t="str">
        <f t="shared" si="32"/>
        <v>-</v>
      </c>
      <c r="EZ18" s="40" t="str">
        <f t="shared" si="33"/>
        <v>-</v>
      </c>
      <c r="FA18" s="40" t="str">
        <f t="shared" si="33"/>
        <v>-</v>
      </c>
      <c r="FB18" s="40" t="str">
        <f t="shared" si="33"/>
        <v>-</v>
      </c>
      <c r="FC18" s="32"/>
      <c r="FD18" s="39">
        <f t="shared" si="34"/>
        <v>1.2836970474967909E-3</v>
      </c>
      <c r="FE18" s="40">
        <f t="shared" si="34"/>
        <v>7.5513196480938419E-2</v>
      </c>
      <c r="FF18" s="40">
        <f t="shared" si="35"/>
        <v>0.20805369127516779</v>
      </c>
      <c r="FG18" s="40" t="str">
        <f t="shared" si="35"/>
        <v>-</v>
      </c>
      <c r="FH18" s="40">
        <f t="shared" si="35"/>
        <v>5.8900523560209431E-2</v>
      </c>
      <c r="FI18" s="32"/>
      <c r="FJ18" s="39" t="str">
        <f t="shared" si="36"/>
        <v>-</v>
      </c>
      <c r="FK18" s="39">
        <f t="shared" si="36"/>
        <v>0.25</v>
      </c>
      <c r="FL18" s="39" t="str">
        <f t="shared" si="37"/>
        <v>-</v>
      </c>
      <c r="FM18" s="39" t="str">
        <f t="shared" si="37"/>
        <v>-</v>
      </c>
      <c r="FN18" s="39">
        <f t="shared" si="37"/>
        <v>4.8280024140012071E-3</v>
      </c>
      <c r="FV18" s="43" t="str">
        <f t="shared" si="39"/>
        <v>-</v>
      </c>
      <c r="FW18" s="43" t="str">
        <f t="shared" si="40"/>
        <v>-</v>
      </c>
      <c r="FX18" s="43" t="str">
        <f t="shared" si="41"/>
        <v>-</v>
      </c>
      <c r="FY18" s="43" t="str">
        <f t="shared" si="42"/>
        <v>-</v>
      </c>
      <c r="FZ18" s="43" t="str">
        <f t="shared" si="43"/>
        <v>-</v>
      </c>
      <c r="GF18" s="28" t="str">
        <f t="shared" si="61"/>
        <v>-</v>
      </c>
      <c r="GH18" s="43" t="str">
        <f t="shared" si="45"/>
        <v>-</v>
      </c>
      <c r="GI18" s="43" t="str">
        <f t="shared" si="46"/>
        <v>-</v>
      </c>
      <c r="GJ18" s="43" t="str">
        <f t="shared" si="47"/>
        <v>-</v>
      </c>
      <c r="GK18" s="43" t="str">
        <f t="shared" si="48"/>
        <v>-</v>
      </c>
      <c r="GL18" s="43" t="str">
        <f t="shared" si="49"/>
        <v>-</v>
      </c>
      <c r="GN18" s="42">
        <f t="shared" si="54"/>
        <v>18.200000000000003</v>
      </c>
      <c r="GO18">
        <f t="shared" si="55"/>
        <v>20903.2</v>
      </c>
    </row>
    <row r="19" spans="1:197" x14ac:dyDescent="0.25">
      <c r="A19" s="29" t="s">
        <v>239</v>
      </c>
      <c r="B19" s="29"/>
      <c r="C19" s="10">
        <f t="shared" si="0"/>
        <v>14.241099999999999</v>
      </c>
      <c r="D19" s="10">
        <f t="shared" si="0"/>
        <v>2.6597</v>
      </c>
      <c r="E19" s="10">
        <f t="shared" si="0"/>
        <v>2.5975000000000001</v>
      </c>
      <c r="F19" s="10">
        <f t="shared" si="0"/>
        <v>6.2199999999999998E-2</v>
      </c>
      <c r="G19" s="10">
        <f t="shared" si="0"/>
        <v>0.17169999999999999</v>
      </c>
      <c r="H19" s="10" t="str">
        <f t="shared" si="0"/>
        <v>-</v>
      </c>
      <c r="I19" s="10">
        <f t="shared" si="0"/>
        <v>17.072500000000002</v>
      </c>
      <c r="K19" s="10">
        <f t="shared" si="1"/>
        <v>14.241099999999999</v>
      </c>
      <c r="L19" s="10">
        <f t="shared" si="1"/>
        <v>2.6597</v>
      </c>
      <c r="M19" s="10">
        <f t="shared" si="1"/>
        <v>2.5975000000000001</v>
      </c>
      <c r="N19" s="10">
        <f t="shared" si="1"/>
        <v>6.2199999999999998E-2</v>
      </c>
      <c r="O19" s="10">
        <f t="shared" si="1"/>
        <v>0.17169999999999999</v>
      </c>
      <c r="P19" s="10" t="str">
        <f t="shared" si="1"/>
        <v>-</v>
      </c>
      <c r="Q19" s="10">
        <f t="shared" si="1"/>
        <v>17.072500000000002</v>
      </c>
      <c r="R19" s="30"/>
      <c r="S19" s="46">
        <v>13.801</v>
      </c>
      <c r="T19" s="63">
        <f>SUM(U19:V19)</f>
        <v>2.6597</v>
      </c>
      <c r="U19" s="46">
        <v>2.5975000000000001</v>
      </c>
      <c r="V19" s="46">
        <v>6.2199999999999998E-2</v>
      </c>
      <c r="W19" s="46">
        <v>0.17169999999999999</v>
      </c>
      <c r="X19" s="46">
        <v>0</v>
      </c>
      <c r="Y19" s="32">
        <f t="shared" si="2"/>
        <v>16.632400000000001</v>
      </c>
      <c r="Z19" s="32"/>
      <c r="AA19" s="34">
        <v>0.44009999999999999</v>
      </c>
      <c r="AB19" s="34">
        <v>0</v>
      </c>
      <c r="AC19" s="34">
        <v>0</v>
      </c>
      <c r="AD19" s="34">
        <v>0</v>
      </c>
      <c r="AE19" s="34">
        <v>0</v>
      </c>
      <c r="AF19" s="34">
        <v>0</v>
      </c>
      <c r="AG19" s="32">
        <f t="shared" si="3"/>
        <v>0.44009999999999999</v>
      </c>
      <c r="AH19" s="32"/>
      <c r="AI19" s="34" t="s">
        <v>232</v>
      </c>
      <c r="AJ19" s="34" t="s">
        <v>232</v>
      </c>
      <c r="AK19" s="34" t="s">
        <v>232</v>
      </c>
      <c r="AL19" s="34" t="s">
        <v>232</v>
      </c>
      <c r="AM19" s="34" t="s">
        <v>232</v>
      </c>
      <c r="AN19" s="34" t="s">
        <v>232</v>
      </c>
      <c r="AO19" s="32">
        <f t="shared" si="4"/>
        <v>0</v>
      </c>
      <c r="AP19" s="32"/>
      <c r="AQ19" s="34" t="s">
        <v>232</v>
      </c>
      <c r="AR19" s="34" t="s">
        <v>232</v>
      </c>
      <c r="AS19" s="34" t="s">
        <v>232</v>
      </c>
      <c r="AT19" s="34" t="s">
        <v>232</v>
      </c>
      <c r="AU19" s="34" t="s">
        <v>232</v>
      </c>
      <c r="AV19" s="34" t="s">
        <v>232</v>
      </c>
      <c r="AW19" s="32">
        <f t="shared" si="5"/>
        <v>0</v>
      </c>
      <c r="AX19" s="32"/>
      <c r="AY19" s="31" t="s">
        <v>232</v>
      </c>
      <c r="AZ19" s="31" t="s">
        <v>232</v>
      </c>
      <c r="BA19" s="31" t="s">
        <v>232</v>
      </c>
      <c r="BB19" s="31" t="s">
        <v>232</v>
      </c>
      <c r="BC19" s="31" t="s">
        <v>232</v>
      </c>
      <c r="BD19" s="31" t="s">
        <v>232</v>
      </c>
      <c r="BE19" s="32">
        <f t="shared" si="50"/>
        <v>0</v>
      </c>
      <c r="BF19" s="32"/>
      <c r="BG19" s="10">
        <f t="shared" si="51"/>
        <v>4.3</v>
      </c>
      <c r="BH19" s="10">
        <f t="shared" si="6"/>
        <v>15</v>
      </c>
      <c r="BI19" s="10">
        <f t="shared" si="7"/>
        <v>15.5</v>
      </c>
      <c r="BJ19" s="10" t="str">
        <f t="shared" si="7"/>
        <v>-</v>
      </c>
      <c r="BK19" s="10">
        <f t="shared" si="7"/>
        <v>40.699999999999996</v>
      </c>
      <c r="BM19" s="10">
        <f t="shared" si="8"/>
        <v>4.3</v>
      </c>
      <c r="BN19" s="10">
        <f t="shared" si="8"/>
        <v>15</v>
      </c>
      <c r="BO19" s="10">
        <f t="shared" si="9"/>
        <v>15.5</v>
      </c>
      <c r="BP19" s="10" t="str">
        <f t="shared" si="9"/>
        <v>-</v>
      </c>
      <c r="BQ19" s="10">
        <f t="shared" si="9"/>
        <v>40.699999999999996</v>
      </c>
      <c r="BS19" s="46">
        <v>4.3</v>
      </c>
      <c r="BT19" s="63">
        <f>SUM(BU19:BV19)</f>
        <v>15</v>
      </c>
      <c r="BU19" s="46">
        <v>13.8</v>
      </c>
      <c r="BV19" s="46">
        <v>1.2</v>
      </c>
      <c r="BW19" s="46">
        <v>15.5</v>
      </c>
      <c r="BX19" s="46">
        <v>0</v>
      </c>
      <c r="BY19" s="32">
        <f>SUM(BS19:BT19,BW19:BX19)+5.9</f>
        <v>40.699999999999996</v>
      </c>
      <c r="BZ19" s="32"/>
      <c r="CA19" s="34">
        <v>0</v>
      </c>
      <c r="CB19" s="34">
        <v>0</v>
      </c>
      <c r="CC19" s="34">
        <v>0</v>
      </c>
      <c r="CD19" s="34">
        <v>0</v>
      </c>
      <c r="CE19" s="34">
        <v>0</v>
      </c>
      <c r="CF19" s="34">
        <v>0</v>
      </c>
      <c r="CG19" s="32">
        <f t="shared" si="57"/>
        <v>0</v>
      </c>
      <c r="CH19" s="32"/>
      <c r="CI19" s="34" t="s">
        <v>232</v>
      </c>
      <c r="CJ19" s="34" t="s">
        <v>232</v>
      </c>
      <c r="CK19" s="34" t="s">
        <v>232</v>
      </c>
      <c r="CL19" s="34" t="s">
        <v>232</v>
      </c>
      <c r="CM19" s="34" t="s">
        <v>232</v>
      </c>
      <c r="CN19" s="34" t="s">
        <v>232</v>
      </c>
      <c r="CO19" s="32">
        <f t="shared" si="58"/>
        <v>0</v>
      </c>
      <c r="CP19" s="32"/>
      <c r="CQ19" s="34" t="s">
        <v>232</v>
      </c>
      <c r="CR19" s="34" t="s">
        <v>232</v>
      </c>
      <c r="CS19" s="34" t="s">
        <v>232</v>
      </c>
      <c r="CT19" s="34" t="s">
        <v>232</v>
      </c>
      <c r="CU19" s="34" t="s">
        <v>232</v>
      </c>
      <c r="CV19" s="34" t="s">
        <v>232</v>
      </c>
      <c r="CW19" s="32">
        <f t="shared" si="60"/>
        <v>0</v>
      </c>
      <c r="CX19" s="32"/>
      <c r="CY19" s="31" t="s">
        <v>232</v>
      </c>
      <c r="CZ19" s="31" t="s">
        <v>232</v>
      </c>
      <c r="DA19" s="31" t="s">
        <v>232</v>
      </c>
      <c r="DB19" s="31" t="s">
        <v>232</v>
      </c>
      <c r="DC19" s="31" t="s">
        <v>232</v>
      </c>
      <c r="DD19" s="31" t="s">
        <v>232</v>
      </c>
      <c r="DE19" s="32">
        <f t="shared" si="12"/>
        <v>0</v>
      </c>
      <c r="DF19" s="32"/>
      <c r="DG19" s="37">
        <f t="shared" si="13"/>
        <v>0.83415434177771264</v>
      </c>
      <c r="DH19" s="37">
        <f t="shared" si="13"/>
        <v>0.15578854883584711</v>
      </c>
      <c r="DI19" s="37">
        <f t="shared" si="14"/>
        <v>1.005710938644018E-2</v>
      </c>
      <c r="DJ19" s="37" t="str">
        <f t="shared" si="14"/>
        <v>-</v>
      </c>
      <c r="DK19" s="32"/>
      <c r="DL19" s="37">
        <f t="shared" si="15"/>
        <v>0.82976599889372549</v>
      </c>
      <c r="DM19" s="37">
        <f t="shared" si="15"/>
        <v>0.15991077655660035</v>
      </c>
      <c r="DN19" s="37">
        <f t="shared" si="16"/>
        <v>1.032322454967413E-2</v>
      </c>
      <c r="DO19" s="37" t="str">
        <f t="shared" si="16"/>
        <v>-</v>
      </c>
      <c r="DP19" s="32"/>
      <c r="DQ19" s="37">
        <f t="shared" si="17"/>
        <v>1</v>
      </c>
      <c r="DR19" s="37" t="str">
        <f t="shared" si="17"/>
        <v>-</v>
      </c>
      <c r="DS19" s="37" t="str">
        <f t="shared" si="18"/>
        <v>-</v>
      </c>
      <c r="DT19" s="37" t="str">
        <f t="shared" si="18"/>
        <v>-</v>
      </c>
      <c r="DU19" s="32"/>
      <c r="DV19" s="37" t="str">
        <f t="shared" si="19"/>
        <v>-</v>
      </c>
      <c r="DW19" s="37" t="str">
        <f t="shared" si="19"/>
        <v>-</v>
      </c>
      <c r="DX19" s="37" t="str">
        <f t="shared" si="20"/>
        <v>-</v>
      </c>
      <c r="DY19" s="37" t="str">
        <f t="shared" si="20"/>
        <v>-</v>
      </c>
      <c r="DZ19" s="32"/>
      <c r="EA19" s="37" t="str">
        <f t="shared" si="21"/>
        <v>-</v>
      </c>
      <c r="EB19" s="37" t="str">
        <f t="shared" si="21"/>
        <v>-</v>
      </c>
      <c r="EC19" s="37" t="str">
        <f t="shared" si="22"/>
        <v>-</v>
      </c>
      <c r="ED19" s="37" t="str">
        <f t="shared" si="22"/>
        <v>-</v>
      </c>
      <c r="EE19" s="32"/>
      <c r="EF19" s="38">
        <f t="shared" si="23"/>
        <v>2.338609617626048E-2</v>
      </c>
      <c r="EG19" s="38" t="str">
        <f t="shared" si="24"/>
        <v>-</v>
      </c>
      <c r="EH19" s="38" t="str">
        <f t="shared" si="25"/>
        <v>-</v>
      </c>
      <c r="EI19" s="38" t="str">
        <f t="shared" si="26"/>
        <v>-</v>
      </c>
      <c r="EJ19" s="38">
        <f t="shared" si="27"/>
        <v>2.338609617626048E-2</v>
      </c>
      <c r="EK19" s="32"/>
      <c r="EL19" s="39">
        <f t="shared" si="28"/>
        <v>3.0194296788871642E-4</v>
      </c>
      <c r="EM19" s="39">
        <f t="shared" si="28"/>
        <v>5.6397338045644247E-3</v>
      </c>
      <c r="EN19" s="39">
        <f t="shared" si="29"/>
        <v>9.0273733255678501E-2</v>
      </c>
      <c r="EO19" s="39" t="str">
        <f t="shared" si="29"/>
        <v>-</v>
      </c>
      <c r="EP19" s="39">
        <f t="shared" si="29"/>
        <v>2.3839507980670666E-3</v>
      </c>
      <c r="ER19" s="39">
        <f t="shared" si="30"/>
        <v>3.1157162524454745E-4</v>
      </c>
      <c r="ES19" s="40">
        <f t="shared" si="30"/>
        <v>5.6397338045644247E-3</v>
      </c>
      <c r="ET19" s="40">
        <f t="shared" si="31"/>
        <v>9.0273733255678501E-2</v>
      </c>
      <c r="EU19" s="40" t="str">
        <f t="shared" si="31"/>
        <v>-</v>
      </c>
      <c r="EV19" s="40">
        <f t="shared" si="31"/>
        <v>2.447031095933238E-3</v>
      </c>
      <c r="EW19" s="32"/>
      <c r="EX19" s="39" t="str">
        <f t="shared" si="32"/>
        <v>-</v>
      </c>
      <c r="EY19" s="40" t="str">
        <f t="shared" si="32"/>
        <v>-</v>
      </c>
      <c r="EZ19" s="40" t="str">
        <f t="shared" si="33"/>
        <v>-</v>
      </c>
      <c r="FA19" s="40" t="str">
        <f t="shared" si="33"/>
        <v>-</v>
      </c>
      <c r="FB19" s="40" t="str">
        <f t="shared" si="33"/>
        <v>-</v>
      </c>
      <c r="FC19" s="32"/>
      <c r="FD19" s="39" t="str">
        <f t="shared" si="34"/>
        <v>-</v>
      </c>
      <c r="FE19" s="40" t="str">
        <f t="shared" si="34"/>
        <v>-</v>
      </c>
      <c r="FF19" s="40" t="str">
        <f t="shared" si="35"/>
        <v>-</v>
      </c>
      <c r="FG19" s="40" t="str">
        <f t="shared" si="35"/>
        <v>-</v>
      </c>
      <c r="FH19" s="40" t="str">
        <f t="shared" si="35"/>
        <v>-</v>
      </c>
      <c r="FI19" s="32"/>
      <c r="FJ19" s="39" t="str">
        <f t="shared" si="36"/>
        <v>-</v>
      </c>
      <c r="FK19" s="39" t="str">
        <f t="shared" si="36"/>
        <v>-</v>
      </c>
      <c r="FL19" s="39" t="str">
        <f t="shared" si="37"/>
        <v>-</v>
      </c>
      <c r="FM19" s="39" t="str">
        <f t="shared" si="37"/>
        <v>-</v>
      </c>
      <c r="FN19" s="39" t="str">
        <f t="shared" si="37"/>
        <v>-</v>
      </c>
      <c r="FV19" s="43" t="str">
        <f t="shared" si="39"/>
        <v>-</v>
      </c>
      <c r="FW19" s="43" t="str">
        <f t="shared" si="40"/>
        <v>-</v>
      </c>
      <c r="FX19" s="43" t="str">
        <f t="shared" si="41"/>
        <v>-</v>
      </c>
      <c r="FY19" s="43" t="str">
        <f t="shared" si="42"/>
        <v>-</v>
      </c>
      <c r="FZ19" s="43" t="str">
        <f t="shared" si="43"/>
        <v>-</v>
      </c>
      <c r="GF19" s="28" t="str">
        <f t="shared" si="61"/>
        <v>-</v>
      </c>
      <c r="GH19" s="43" t="str">
        <f t="shared" si="45"/>
        <v>-</v>
      </c>
      <c r="GI19" s="43" t="str">
        <f t="shared" si="46"/>
        <v>-</v>
      </c>
      <c r="GJ19" s="43" t="str">
        <f t="shared" si="47"/>
        <v>-</v>
      </c>
      <c r="GK19" s="43" t="str">
        <f t="shared" si="48"/>
        <v>-</v>
      </c>
      <c r="GL19" s="43" t="str">
        <f t="shared" si="49"/>
        <v>-</v>
      </c>
      <c r="GN19" s="42">
        <f t="shared" si="54"/>
        <v>19.3</v>
      </c>
      <c r="GO19">
        <f t="shared" si="55"/>
        <v>16900.8</v>
      </c>
    </row>
    <row r="20" spans="1:197" x14ac:dyDescent="0.25">
      <c r="A20" s="29" t="s">
        <v>240</v>
      </c>
      <c r="B20" s="29"/>
      <c r="C20" s="10">
        <f t="shared" si="0"/>
        <v>13.916</v>
      </c>
      <c r="D20" s="10">
        <f t="shared" si="0"/>
        <v>0.86899999999999999</v>
      </c>
      <c r="E20" s="10">
        <f t="shared" si="0"/>
        <v>0.68200000000000005</v>
      </c>
      <c r="F20" s="10">
        <f t="shared" si="0"/>
        <v>0.187</v>
      </c>
      <c r="G20" s="10">
        <f t="shared" si="0"/>
        <v>0.217</v>
      </c>
      <c r="H20" s="10" t="str">
        <f t="shared" si="0"/>
        <v>-</v>
      </c>
      <c r="I20" s="10">
        <f t="shared" si="0"/>
        <v>15.002000000000002</v>
      </c>
      <c r="K20" s="10">
        <f t="shared" si="1"/>
        <v>13.916</v>
      </c>
      <c r="L20" s="10">
        <f t="shared" si="1"/>
        <v>0.86899999999999999</v>
      </c>
      <c r="M20" s="10">
        <f t="shared" si="1"/>
        <v>0.68200000000000005</v>
      </c>
      <c r="N20" s="10">
        <f t="shared" si="1"/>
        <v>0.187</v>
      </c>
      <c r="O20" s="10">
        <f t="shared" si="1"/>
        <v>0.217</v>
      </c>
      <c r="P20" s="10" t="str">
        <f t="shared" si="1"/>
        <v>-</v>
      </c>
      <c r="Q20" s="10">
        <f t="shared" si="1"/>
        <v>15.002000000000002</v>
      </c>
      <c r="R20" s="30"/>
      <c r="S20" s="46">
        <v>9.3819999999999997</v>
      </c>
      <c r="T20" s="46">
        <v>0.72299999999999998</v>
      </c>
      <c r="U20" s="34">
        <v>0.68</v>
      </c>
      <c r="V20" s="34">
        <f>0.014+0.029</f>
        <v>4.3000000000000003E-2</v>
      </c>
      <c r="W20" s="46">
        <v>8.5000000000000006E-2</v>
      </c>
      <c r="X20" s="46">
        <v>0</v>
      </c>
      <c r="Y20" s="32">
        <f t="shared" si="2"/>
        <v>10.190000000000001</v>
      </c>
      <c r="Z20" s="32"/>
      <c r="AA20" s="46">
        <v>0.17899999999999999</v>
      </c>
      <c r="AB20" s="46">
        <v>8.0000000000000002E-3</v>
      </c>
      <c r="AC20" s="46">
        <v>0</v>
      </c>
      <c r="AD20" s="46">
        <v>8.0000000000000002E-3</v>
      </c>
      <c r="AE20" s="46">
        <v>1.0999999999999999E-2</v>
      </c>
      <c r="AF20" s="46">
        <v>0</v>
      </c>
      <c r="AG20" s="32">
        <f t="shared" si="3"/>
        <v>0.19800000000000001</v>
      </c>
      <c r="AH20" s="32"/>
      <c r="AI20" s="46">
        <v>4.3550000000000004</v>
      </c>
      <c r="AJ20" s="46">
        <v>0.13800000000000001</v>
      </c>
      <c r="AK20" s="46">
        <v>2E-3</v>
      </c>
      <c r="AL20" s="46">
        <f>0.039+0.097</f>
        <v>0.13600000000000001</v>
      </c>
      <c r="AM20" s="46">
        <v>0.121</v>
      </c>
      <c r="AN20" s="46">
        <v>0</v>
      </c>
      <c r="AO20" s="32">
        <f t="shared" si="4"/>
        <v>4.6140000000000008</v>
      </c>
      <c r="AP20" s="32"/>
      <c r="AQ20" s="34" t="s">
        <v>232</v>
      </c>
      <c r="AR20" s="34" t="s">
        <v>232</v>
      </c>
      <c r="AS20" s="34" t="s">
        <v>232</v>
      </c>
      <c r="AT20" s="34" t="s">
        <v>232</v>
      </c>
      <c r="AU20" s="34" t="s">
        <v>232</v>
      </c>
      <c r="AV20" s="34" t="s">
        <v>232</v>
      </c>
      <c r="AW20" s="32">
        <f t="shared" si="5"/>
        <v>0</v>
      </c>
      <c r="AX20" s="32"/>
      <c r="AY20" s="31" t="s">
        <v>232</v>
      </c>
      <c r="AZ20" s="31" t="s">
        <v>232</v>
      </c>
      <c r="BA20" s="31" t="s">
        <v>232</v>
      </c>
      <c r="BB20" s="31" t="s">
        <v>232</v>
      </c>
      <c r="BC20" s="31" t="s">
        <v>232</v>
      </c>
      <c r="BD20" s="31" t="s">
        <v>232</v>
      </c>
      <c r="BE20" s="32">
        <f t="shared" si="50"/>
        <v>0</v>
      </c>
      <c r="BF20" s="32"/>
      <c r="BG20" s="10">
        <f t="shared" si="51"/>
        <v>77</v>
      </c>
      <c r="BH20" s="10">
        <f t="shared" si="6"/>
        <v>24</v>
      </c>
      <c r="BI20" s="10">
        <f t="shared" si="7"/>
        <v>44</v>
      </c>
      <c r="BJ20" s="10" t="str">
        <f t="shared" si="7"/>
        <v>-</v>
      </c>
      <c r="BK20" s="10">
        <f t="shared" si="7"/>
        <v>145</v>
      </c>
      <c r="BM20" s="10">
        <f t="shared" si="8"/>
        <v>77</v>
      </c>
      <c r="BN20" s="10">
        <f t="shared" si="8"/>
        <v>24</v>
      </c>
      <c r="BO20" s="10">
        <f t="shared" si="9"/>
        <v>44</v>
      </c>
      <c r="BP20" s="10" t="str">
        <f t="shared" si="9"/>
        <v>-</v>
      </c>
      <c r="BQ20" s="10">
        <f t="shared" si="9"/>
        <v>145</v>
      </c>
      <c r="BS20" s="46">
        <v>21</v>
      </c>
      <c r="BT20" s="46">
        <v>11</v>
      </c>
      <c r="BU20" s="34" t="s">
        <v>232</v>
      </c>
      <c r="BV20" s="34" t="s">
        <v>232</v>
      </c>
      <c r="BW20" s="46">
        <v>8</v>
      </c>
      <c r="BX20" s="46">
        <v>0</v>
      </c>
      <c r="BY20" s="32">
        <f t="shared" si="59"/>
        <v>40</v>
      </c>
      <c r="BZ20" s="32"/>
      <c r="CA20" s="46">
        <v>8</v>
      </c>
      <c r="CB20" s="46">
        <v>4</v>
      </c>
      <c r="CC20" s="34" t="s">
        <v>232</v>
      </c>
      <c r="CD20" s="34" t="s">
        <v>232</v>
      </c>
      <c r="CE20" s="46">
        <v>10</v>
      </c>
      <c r="CF20" s="46">
        <v>0</v>
      </c>
      <c r="CG20" s="32">
        <f t="shared" si="57"/>
        <v>22</v>
      </c>
      <c r="CH20" s="32"/>
      <c r="CI20" s="46">
        <v>48</v>
      </c>
      <c r="CJ20" s="46">
        <v>9</v>
      </c>
      <c r="CK20" s="34" t="s">
        <v>232</v>
      </c>
      <c r="CL20" s="34" t="s">
        <v>232</v>
      </c>
      <c r="CM20" s="46">
        <v>26</v>
      </c>
      <c r="CN20" s="46">
        <v>0</v>
      </c>
      <c r="CO20" s="32">
        <f t="shared" si="58"/>
        <v>83</v>
      </c>
      <c r="CP20" s="32"/>
      <c r="CQ20" s="34" t="s">
        <v>232</v>
      </c>
      <c r="CR20" s="34" t="s">
        <v>232</v>
      </c>
      <c r="CS20" s="34" t="s">
        <v>232</v>
      </c>
      <c r="CT20" s="34" t="s">
        <v>232</v>
      </c>
      <c r="CU20" s="34" t="s">
        <v>232</v>
      </c>
      <c r="CV20" s="34" t="s">
        <v>232</v>
      </c>
      <c r="CW20" s="32">
        <f t="shared" si="60"/>
        <v>0</v>
      </c>
      <c r="CX20" s="32"/>
      <c r="CY20" s="31" t="s">
        <v>232</v>
      </c>
      <c r="CZ20" s="31" t="s">
        <v>232</v>
      </c>
      <c r="DA20" s="31" t="s">
        <v>232</v>
      </c>
      <c r="DB20" s="31" t="s">
        <v>232</v>
      </c>
      <c r="DC20" s="31" t="s">
        <v>232</v>
      </c>
      <c r="DD20" s="31" t="s">
        <v>232</v>
      </c>
      <c r="DE20" s="32">
        <f t="shared" si="12"/>
        <v>0</v>
      </c>
      <c r="DF20" s="32"/>
      <c r="DG20" s="37">
        <f t="shared" si="13"/>
        <v>0.92760965204639367</v>
      </c>
      <c r="DH20" s="37">
        <f t="shared" si="13"/>
        <v>5.7925609918677498E-2</v>
      </c>
      <c r="DI20" s="37">
        <f t="shared" si="14"/>
        <v>1.4464738034928674E-2</v>
      </c>
      <c r="DJ20" s="37" t="str">
        <f t="shared" si="14"/>
        <v>-</v>
      </c>
      <c r="DK20" s="32"/>
      <c r="DL20" s="37">
        <f t="shared" si="15"/>
        <v>0.92070657507360143</v>
      </c>
      <c r="DM20" s="37">
        <f t="shared" si="15"/>
        <v>7.0951913640824329E-2</v>
      </c>
      <c r="DN20" s="37">
        <f t="shared" si="16"/>
        <v>8.3415112855740915E-3</v>
      </c>
      <c r="DO20" s="37" t="str">
        <f t="shared" si="16"/>
        <v>-</v>
      </c>
      <c r="DP20" s="32"/>
      <c r="DQ20" s="37">
        <f t="shared" si="17"/>
        <v>0.90404040404040398</v>
      </c>
      <c r="DR20" s="37">
        <f t="shared" si="17"/>
        <v>4.0404040404040401E-2</v>
      </c>
      <c r="DS20" s="37">
        <f t="shared" si="18"/>
        <v>5.5555555555555552E-2</v>
      </c>
      <c r="DT20" s="37" t="str">
        <f t="shared" si="18"/>
        <v>-</v>
      </c>
      <c r="DU20" s="32"/>
      <c r="DV20" s="37">
        <f t="shared" si="19"/>
        <v>0.94386649328131766</v>
      </c>
      <c r="DW20" s="37">
        <f t="shared" si="19"/>
        <v>2.9908972691807541E-2</v>
      </c>
      <c r="DX20" s="37">
        <f t="shared" si="20"/>
        <v>2.6224534026874725E-2</v>
      </c>
      <c r="DY20" s="37" t="str">
        <f t="shared" si="20"/>
        <v>-</v>
      </c>
      <c r="DZ20" s="32"/>
      <c r="EA20" s="37" t="str">
        <f t="shared" si="21"/>
        <v>-</v>
      </c>
      <c r="EB20" s="37" t="str">
        <f t="shared" si="21"/>
        <v>-</v>
      </c>
      <c r="EC20" s="37" t="str">
        <f t="shared" si="22"/>
        <v>-</v>
      </c>
      <c r="ED20" s="37" t="str">
        <f t="shared" si="22"/>
        <v>-</v>
      </c>
      <c r="EE20" s="32"/>
      <c r="EF20" s="38">
        <f t="shared" si="23"/>
        <v>5.9474412171507611E-2</v>
      </c>
      <c r="EG20" s="38">
        <f t="shared" si="24"/>
        <v>1</v>
      </c>
      <c r="EH20" s="38">
        <f t="shared" si="25"/>
        <v>0.98550724637681153</v>
      </c>
      <c r="EI20" s="38" t="str">
        <f t="shared" si="26"/>
        <v>-</v>
      </c>
      <c r="EJ20" s="38">
        <f t="shared" si="27"/>
        <v>0.21518987341772153</v>
      </c>
      <c r="EK20" s="32"/>
      <c r="EL20" s="39">
        <f t="shared" si="28"/>
        <v>5.533199195171026E-3</v>
      </c>
      <c r="EM20" s="39">
        <f t="shared" si="28"/>
        <v>2.7617951668584582E-2</v>
      </c>
      <c r="EN20" s="39">
        <f t="shared" si="29"/>
        <v>0.20276497695852536</v>
      </c>
      <c r="EO20" s="39" t="str">
        <f t="shared" si="29"/>
        <v>-</v>
      </c>
      <c r="EP20" s="39">
        <f t="shared" si="29"/>
        <v>9.6653779496067172E-3</v>
      </c>
      <c r="ER20" s="39">
        <f t="shared" si="30"/>
        <v>2.2383287145597954E-3</v>
      </c>
      <c r="ES20" s="40">
        <f t="shared" si="30"/>
        <v>1.521438450899032E-2</v>
      </c>
      <c r="ET20" s="40">
        <f t="shared" si="31"/>
        <v>9.4117647058823528E-2</v>
      </c>
      <c r="EU20" s="40" t="str">
        <f t="shared" si="31"/>
        <v>-</v>
      </c>
      <c r="EV20" s="40">
        <f t="shared" si="31"/>
        <v>3.9254170755642784E-3</v>
      </c>
      <c r="EW20" s="32"/>
      <c r="EX20" s="39">
        <f t="shared" si="32"/>
        <v>4.4692737430167599E-2</v>
      </c>
      <c r="EY20" s="40">
        <f t="shared" si="32"/>
        <v>0.5</v>
      </c>
      <c r="EZ20" s="40">
        <f t="shared" si="33"/>
        <v>0.90909090909090917</v>
      </c>
      <c r="FA20" s="40" t="str">
        <f t="shared" si="33"/>
        <v>-</v>
      </c>
      <c r="FB20" s="40">
        <f t="shared" si="33"/>
        <v>0.1111111111111111</v>
      </c>
      <c r="FC20" s="32"/>
      <c r="FD20" s="39">
        <f t="shared" si="34"/>
        <v>1.1021814006888633E-2</v>
      </c>
      <c r="FE20" s="40">
        <f t="shared" si="34"/>
        <v>6.521739130434781E-2</v>
      </c>
      <c r="FF20" s="40">
        <f t="shared" si="35"/>
        <v>0.21487603305785125</v>
      </c>
      <c r="FG20" s="40" t="str">
        <f t="shared" si="35"/>
        <v>-</v>
      </c>
      <c r="FH20" s="40">
        <f t="shared" si="35"/>
        <v>1.7988729952319028E-2</v>
      </c>
      <c r="FI20" s="32"/>
      <c r="FJ20" s="39" t="str">
        <f t="shared" si="36"/>
        <v>-</v>
      </c>
      <c r="FK20" s="39" t="str">
        <f t="shared" si="36"/>
        <v>-</v>
      </c>
      <c r="FL20" s="39" t="str">
        <f t="shared" si="37"/>
        <v>-</v>
      </c>
      <c r="FM20" s="39" t="str">
        <f t="shared" si="37"/>
        <v>-</v>
      </c>
      <c r="FN20" s="39" t="str">
        <f t="shared" si="37"/>
        <v>-</v>
      </c>
      <c r="FV20" s="43" t="str">
        <f t="shared" si="39"/>
        <v>-</v>
      </c>
      <c r="FW20" s="43" t="str">
        <f t="shared" si="40"/>
        <v>-</v>
      </c>
      <c r="FX20" s="43" t="str">
        <f t="shared" si="41"/>
        <v>-</v>
      </c>
      <c r="FY20" s="43" t="str">
        <f t="shared" si="42"/>
        <v>-</v>
      </c>
      <c r="FZ20" s="43" t="str">
        <f t="shared" si="43"/>
        <v>-</v>
      </c>
      <c r="GF20" s="28" t="str">
        <f t="shared" si="61"/>
        <v>-</v>
      </c>
      <c r="GH20" s="43" t="str">
        <f t="shared" si="45"/>
        <v>-</v>
      </c>
      <c r="GI20" s="43" t="str">
        <f t="shared" si="46"/>
        <v>-</v>
      </c>
      <c r="GJ20" s="43" t="str">
        <f t="shared" si="47"/>
        <v>-</v>
      </c>
      <c r="GK20" s="43" t="str">
        <f t="shared" si="48"/>
        <v>-</v>
      </c>
      <c r="GL20" s="43" t="str">
        <f t="shared" si="49"/>
        <v>-</v>
      </c>
      <c r="GN20" s="42">
        <f t="shared" si="54"/>
        <v>101</v>
      </c>
      <c r="GO20">
        <f t="shared" si="55"/>
        <v>14785</v>
      </c>
    </row>
    <row r="21" spans="1:197" x14ac:dyDescent="0.25">
      <c r="A21" s="29" t="s">
        <v>247</v>
      </c>
      <c r="B21" s="29"/>
      <c r="C21" s="10">
        <f t="shared" si="0"/>
        <v>11.670400000000001</v>
      </c>
      <c r="D21" s="10">
        <f t="shared" si="0"/>
        <v>0.54220000000000002</v>
      </c>
      <c r="E21" s="10">
        <f t="shared" si="0"/>
        <v>0.46509999999999996</v>
      </c>
      <c r="F21" s="10">
        <f t="shared" si="0"/>
        <v>7.7100000000000002E-2</v>
      </c>
      <c r="G21" s="10">
        <f t="shared" si="0"/>
        <v>0.17459999999999998</v>
      </c>
      <c r="H21" s="10">
        <f t="shared" si="0"/>
        <v>0.18559999999999999</v>
      </c>
      <c r="I21" s="10">
        <f t="shared" si="0"/>
        <v>12.572799999999999</v>
      </c>
      <c r="K21" s="10">
        <f t="shared" si="1"/>
        <v>11.670400000000001</v>
      </c>
      <c r="L21" s="10">
        <f t="shared" si="1"/>
        <v>0.54220000000000002</v>
      </c>
      <c r="M21" s="10">
        <f t="shared" si="1"/>
        <v>0.46509999999999996</v>
      </c>
      <c r="N21" s="10">
        <f t="shared" si="1"/>
        <v>7.7100000000000002E-2</v>
      </c>
      <c r="O21" s="10">
        <f t="shared" si="1"/>
        <v>0.17459999999999998</v>
      </c>
      <c r="P21" s="10">
        <f t="shared" si="1"/>
        <v>0.18559999999999999</v>
      </c>
      <c r="Q21" s="10">
        <f t="shared" si="1"/>
        <v>12.572799999999999</v>
      </c>
      <c r="R21" s="30"/>
      <c r="S21" s="64">
        <v>10.1205</v>
      </c>
      <c r="T21" s="64">
        <v>0.44779999999999998</v>
      </c>
      <c r="U21" s="64">
        <v>0.3861</v>
      </c>
      <c r="V21" s="64">
        <v>6.1699999999999998E-2</v>
      </c>
      <c r="W21" s="64">
        <v>0.12989999999999999</v>
      </c>
      <c r="X21" s="64">
        <v>1.52E-2</v>
      </c>
      <c r="Y21" s="32">
        <f t="shared" si="2"/>
        <v>10.7134</v>
      </c>
      <c r="Z21" s="32"/>
      <c r="AA21" s="64">
        <v>0.13780000000000001</v>
      </c>
      <c r="AB21" s="64">
        <v>1.26E-2</v>
      </c>
      <c r="AC21" s="64">
        <v>6.7999999999999996E-3</v>
      </c>
      <c r="AD21" s="64">
        <v>5.7999999999999996E-3</v>
      </c>
      <c r="AE21" s="64">
        <v>2.9700000000000001E-2</v>
      </c>
      <c r="AF21" s="64">
        <v>0.1608</v>
      </c>
      <c r="AG21" s="32">
        <f t="shared" si="3"/>
        <v>0.34089999999999998</v>
      </c>
      <c r="AI21" s="64">
        <v>1.4120999999999999</v>
      </c>
      <c r="AJ21" s="64">
        <v>8.1799999999999998E-2</v>
      </c>
      <c r="AK21" s="64">
        <v>7.22E-2</v>
      </c>
      <c r="AL21" s="64">
        <v>9.5999999999999992E-3</v>
      </c>
      <c r="AM21" s="64">
        <v>1.4999999999999999E-2</v>
      </c>
      <c r="AN21" s="64">
        <v>9.5999999999999992E-3</v>
      </c>
      <c r="AO21" s="32">
        <f t="shared" si="4"/>
        <v>1.5185</v>
      </c>
      <c r="AQ21" s="34" t="s">
        <v>232</v>
      </c>
      <c r="AR21" s="34" t="s">
        <v>232</v>
      </c>
      <c r="AS21" s="34" t="s">
        <v>232</v>
      </c>
      <c r="AT21" s="34" t="s">
        <v>232</v>
      </c>
      <c r="AU21" s="34" t="s">
        <v>232</v>
      </c>
      <c r="AV21" s="34" t="s">
        <v>232</v>
      </c>
      <c r="AW21" s="32">
        <f t="shared" si="5"/>
        <v>0</v>
      </c>
      <c r="AY21" s="31" t="s">
        <v>232</v>
      </c>
      <c r="AZ21" s="31" t="s">
        <v>232</v>
      </c>
      <c r="BA21" s="31" t="s">
        <v>232</v>
      </c>
      <c r="BB21" s="31" t="s">
        <v>232</v>
      </c>
      <c r="BC21" s="31" t="s">
        <v>232</v>
      </c>
      <c r="BD21" s="31" t="s">
        <v>232</v>
      </c>
      <c r="BE21" s="32">
        <f t="shared" si="50"/>
        <v>0</v>
      </c>
      <c r="BG21" s="10">
        <f t="shared" si="51"/>
        <v>18.100000000000001</v>
      </c>
      <c r="BH21" s="10">
        <f t="shared" si="6"/>
        <v>9</v>
      </c>
      <c r="BI21" s="10">
        <f t="shared" si="7"/>
        <v>39.400000000000006</v>
      </c>
      <c r="BJ21" s="10">
        <f t="shared" si="7"/>
        <v>0.2</v>
      </c>
      <c r="BK21" s="10">
        <f t="shared" si="7"/>
        <v>66.7</v>
      </c>
      <c r="BM21" s="10">
        <f t="shared" si="8"/>
        <v>18.100000000000001</v>
      </c>
      <c r="BN21" s="10">
        <f t="shared" si="8"/>
        <v>9</v>
      </c>
      <c r="BO21" s="10">
        <f t="shared" si="9"/>
        <v>39.400000000000006</v>
      </c>
      <c r="BP21" s="10">
        <f t="shared" si="9"/>
        <v>0.2</v>
      </c>
      <c r="BQ21" s="10">
        <f t="shared" si="9"/>
        <v>66.7</v>
      </c>
      <c r="BS21" s="64">
        <v>1.9</v>
      </c>
      <c r="BT21" s="64">
        <v>6.3</v>
      </c>
      <c r="BU21" s="65">
        <v>3.1</v>
      </c>
      <c r="BV21" s="65">
        <v>3.2</v>
      </c>
      <c r="BW21" s="64">
        <v>29.1</v>
      </c>
      <c r="BX21" s="64">
        <v>0</v>
      </c>
      <c r="BY21" s="32">
        <f t="shared" si="59"/>
        <v>37.299999999999997</v>
      </c>
      <c r="BZ21" s="32"/>
      <c r="CA21" s="64">
        <v>0.2</v>
      </c>
      <c r="CB21" s="64">
        <v>0.4</v>
      </c>
      <c r="CC21" s="65">
        <v>0.1</v>
      </c>
      <c r="CD21" s="65">
        <v>0.3</v>
      </c>
      <c r="CE21" s="64">
        <v>4.5999999999999996</v>
      </c>
      <c r="CF21" s="64">
        <v>0</v>
      </c>
      <c r="CG21" s="32">
        <f t="shared" si="57"/>
        <v>5.1999999999999993</v>
      </c>
      <c r="CI21" s="64">
        <v>16</v>
      </c>
      <c r="CJ21" s="64">
        <v>2.2999999999999998</v>
      </c>
      <c r="CK21" s="65">
        <v>2</v>
      </c>
      <c r="CL21" s="65">
        <v>0.3</v>
      </c>
      <c r="CM21" s="64">
        <v>5.7</v>
      </c>
      <c r="CN21" s="64">
        <v>0.2</v>
      </c>
      <c r="CO21" s="32">
        <f t="shared" si="58"/>
        <v>24.2</v>
      </c>
      <c r="CQ21" s="34" t="s">
        <v>232</v>
      </c>
      <c r="CR21" s="34" t="s">
        <v>232</v>
      </c>
      <c r="CS21" s="34" t="s">
        <v>232</v>
      </c>
      <c r="CT21" s="34" t="s">
        <v>232</v>
      </c>
      <c r="CU21" s="34" t="s">
        <v>232</v>
      </c>
      <c r="CV21" s="34" t="s">
        <v>232</v>
      </c>
      <c r="CW21" s="32">
        <f t="shared" si="60"/>
        <v>0</v>
      </c>
      <c r="CY21" s="31" t="s">
        <v>232</v>
      </c>
      <c r="CZ21" s="31" t="s">
        <v>232</v>
      </c>
      <c r="DA21" s="31" t="s">
        <v>232</v>
      </c>
      <c r="DB21" s="31" t="s">
        <v>232</v>
      </c>
      <c r="DC21" s="31" t="s">
        <v>232</v>
      </c>
      <c r="DD21" s="31" t="s">
        <v>232</v>
      </c>
      <c r="DE21" s="32">
        <f t="shared" si="12"/>
        <v>0</v>
      </c>
      <c r="DG21" s="37">
        <f t="shared" si="13"/>
        <v>0.92822601170781383</v>
      </c>
      <c r="DH21" s="37">
        <f t="shared" si="13"/>
        <v>4.3124840926444391E-2</v>
      </c>
      <c r="DI21" s="37">
        <f t="shared" si="14"/>
        <v>1.3887121404937643E-2</v>
      </c>
      <c r="DJ21" s="37">
        <f t="shared" si="14"/>
        <v>1.4762025960804276E-2</v>
      </c>
      <c r="DL21" s="37">
        <f t="shared" si="15"/>
        <v>0.94465809173558346</v>
      </c>
      <c r="DM21" s="37">
        <f t="shared" si="15"/>
        <v>4.1798121978083518E-2</v>
      </c>
      <c r="DN21" s="37">
        <f t="shared" si="16"/>
        <v>1.2125002333526237E-2</v>
      </c>
      <c r="DO21" s="37">
        <f t="shared" si="16"/>
        <v>1.4187839528067654E-3</v>
      </c>
      <c r="DQ21" s="37">
        <f t="shared" si="17"/>
        <v>0.40422411264300384</v>
      </c>
      <c r="DR21" s="37">
        <f t="shared" si="17"/>
        <v>3.6960985626283367E-2</v>
      </c>
      <c r="DS21" s="37">
        <f t="shared" si="18"/>
        <v>8.7122323261953655E-2</v>
      </c>
      <c r="DT21" s="37">
        <f t="shared" si="18"/>
        <v>0.47169257846875917</v>
      </c>
      <c r="DV21" s="37">
        <f t="shared" si="19"/>
        <v>0.92993085281527821</v>
      </c>
      <c r="DW21" s="37">
        <f t="shared" si="19"/>
        <v>5.3868949621336842E-2</v>
      </c>
      <c r="DX21" s="37">
        <f t="shared" si="20"/>
        <v>9.8781692459664148E-3</v>
      </c>
      <c r="DY21" s="37">
        <f t="shared" si="20"/>
        <v>6.322028317418505E-3</v>
      </c>
      <c r="EA21" s="37" t="str">
        <f t="shared" si="21"/>
        <v>-</v>
      </c>
      <c r="EB21" s="37" t="str">
        <f t="shared" si="21"/>
        <v>-</v>
      </c>
      <c r="EC21" s="37" t="str">
        <f t="shared" si="22"/>
        <v>-</v>
      </c>
      <c r="ED21" s="37" t="str">
        <f t="shared" si="22"/>
        <v>-</v>
      </c>
      <c r="EF21" s="38">
        <f t="shared" si="23"/>
        <v>0.13778472532380528</v>
      </c>
      <c r="EG21" s="38">
        <f t="shared" si="24"/>
        <v>0.46031746031746029</v>
      </c>
      <c r="EH21" s="38">
        <f t="shared" si="25"/>
        <v>0.11735941320293398</v>
      </c>
      <c r="EI21" s="38" t="str">
        <f t="shared" si="26"/>
        <v>-</v>
      </c>
      <c r="EJ21" s="38">
        <f t="shared" si="27"/>
        <v>0.14219845075617854</v>
      </c>
      <c r="EL21" s="39">
        <f t="shared" si="28"/>
        <v>1.5509322731011789E-3</v>
      </c>
      <c r="EM21" s="39">
        <f t="shared" si="28"/>
        <v>1.6599040944300994E-2</v>
      </c>
      <c r="EN21" s="39">
        <f t="shared" si="29"/>
        <v>0.22565864833906077</v>
      </c>
      <c r="EO21" s="39">
        <f t="shared" si="29"/>
        <v>1.0775862068965519E-3</v>
      </c>
      <c r="EP21" s="39">
        <f t="shared" si="29"/>
        <v>5.3051030796640369E-3</v>
      </c>
      <c r="ER21" s="39">
        <f t="shared" si="30"/>
        <v>1.8773775999209524E-4</v>
      </c>
      <c r="ES21" s="40">
        <f t="shared" si="30"/>
        <v>1.4068780705672175E-2</v>
      </c>
      <c r="ET21" s="40">
        <f t="shared" si="31"/>
        <v>0.2240184757505774</v>
      </c>
      <c r="EU21" s="40" t="str">
        <f t="shared" si="31"/>
        <v>-</v>
      </c>
      <c r="EV21" s="40">
        <f t="shared" si="31"/>
        <v>3.4816211473481804E-3</v>
      </c>
      <c r="EX21" s="39">
        <f t="shared" si="32"/>
        <v>1.4513788098693759E-3</v>
      </c>
      <c r="EY21" s="40">
        <f t="shared" si="32"/>
        <v>3.1746031746031744E-2</v>
      </c>
      <c r="EZ21" s="40">
        <f t="shared" si="33"/>
        <v>0.15488215488215487</v>
      </c>
      <c r="FA21" s="40" t="str">
        <f t="shared" si="33"/>
        <v>-</v>
      </c>
      <c r="FB21" s="40">
        <f t="shared" si="33"/>
        <v>1.5253740099735992E-2</v>
      </c>
      <c r="FD21" s="39">
        <f t="shared" si="34"/>
        <v>1.1330642305785711E-2</v>
      </c>
      <c r="FE21" s="40">
        <f t="shared" si="34"/>
        <v>2.8117359413202935E-2</v>
      </c>
      <c r="FF21" s="40">
        <f t="shared" si="35"/>
        <v>0.38</v>
      </c>
      <c r="FG21" s="40">
        <f t="shared" si="35"/>
        <v>2.0833333333333336E-2</v>
      </c>
      <c r="FH21" s="40">
        <f t="shared" si="35"/>
        <v>1.5936779716825816E-2</v>
      </c>
      <c r="FJ21" s="39" t="str">
        <f t="shared" si="36"/>
        <v>-</v>
      </c>
      <c r="FK21" s="39" t="str">
        <f t="shared" si="36"/>
        <v>-</v>
      </c>
      <c r="FL21" s="39" t="str">
        <f t="shared" si="37"/>
        <v>-</v>
      </c>
      <c r="FM21" s="39" t="str">
        <f t="shared" si="37"/>
        <v>-</v>
      </c>
      <c r="FN21" s="39" t="str">
        <f t="shared" si="37"/>
        <v>-</v>
      </c>
      <c r="FV21" s="43" t="str">
        <f t="shared" si="39"/>
        <v>-</v>
      </c>
      <c r="FW21" s="43" t="str">
        <f t="shared" si="40"/>
        <v>-</v>
      </c>
      <c r="FX21" s="43" t="str">
        <f t="shared" si="41"/>
        <v>-</v>
      </c>
      <c r="FY21" s="43" t="str">
        <f t="shared" si="42"/>
        <v>-</v>
      </c>
      <c r="FZ21" s="43" t="str">
        <f t="shared" si="43"/>
        <v>-</v>
      </c>
      <c r="GH21" s="43" t="str">
        <f t="shared" si="45"/>
        <v>-</v>
      </c>
      <c r="GI21" s="43" t="str">
        <f t="shared" si="46"/>
        <v>-</v>
      </c>
      <c r="GJ21" s="43" t="str">
        <f t="shared" si="47"/>
        <v>-</v>
      </c>
      <c r="GK21" s="43" t="str">
        <f t="shared" si="48"/>
        <v>-</v>
      </c>
      <c r="GL21" s="43" t="str">
        <f t="shared" si="49"/>
        <v>-</v>
      </c>
      <c r="GN21" s="42">
        <f t="shared" si="54"/>
        <v>27.1</v>
      </c>
      <c r="GO21">
        <f t="shared" si="55"/>
        <v>12212.6</v>
      </c>
    </row>
    <row r="22" spans="1:197" x14ac:dyDescent="0.25">
      <c r="A22" s="29" t="s">
        <v>248</v>
      </c>
      <c r="B22" s="29"/>
      <c r="C22" s="10">
        <f t="shared" si="0"/>
        <v>67.402000000000001</v>
      </c>
      <c r="D22" s="10">
        <f t="shared" si="0"/>
        <v>5.2869999999999999</v>
      </c>
      <c r="E22" s="10">
        <f t="shared" si="0"/>
        <v>5.0609999999999999</v>
      </c>
      <c r="F22" s="10">
        <f t="shared" si="0"/>
        <v>0.22600000000000001</v>
      </c>
      <c r="G22" s="10">
        <f t="shared" si="0"/>
        <v>0.7370000000000001</v>
      </c>
      <c r="H22" s="10">
        <f t="shared" si="0"/>
        <v>9.7000000000000003E-2</v>
      </c>
      <c r="I22" s="10">
        <f t="shared" si="0"/>
        <v>73.522999999999996</v>
      </c>
      <c r="K22" s="10">
        <f t="shared" si="1"/>
        <v>67.402000000000001</v>
      </c>
      <c r="L22" s="10">
        <f t="shared" si="1"/>
        <v>5.2869999999999999</v>
      </c>
      <c r="M22" s="10">
        <f t="shared" si="1"/>
        <v>5.0609999999999999</v>
      </c>
      <c r="N22" s="10">
        <f t="shared" si="1"/>
        <v>0.22600000000000001</v>
      </c>
      <c r="O22" s="10">
        <f t="shared" si="1"/>
        <v>0.7370000000000001</v>
      </c>
      <c r="P22" s="10">
        <f t="shared" si="1"/>
        <v>9.7000000000000003E-2</v>
      </c>
      <c r="Q22" s="10">
        <f t="shared" si="1"/>
        <v>73.522999999999996</v>
      </c>
      <c r="R22" s="30"/>
      <c r="S22" s="46">
        <v>56.905999999999999</v>
      </c>
      <c r="T22" s="46">
        <v>2.3679999999999999</v>
      </c>
      <c r="U22" s="46">
        <v>2.1800000000000002</v>
      </c>
      <c r="V22" s="46">
        <v>0.188</v>
      </c>
      <c r="W22" s="46">
        <v>0.39800000000000002</v>
      </c>
      <c r="X22" s="46">
        <v>9.1999999999999998E-2</v>
      </c>
      <c r="Y22" s="32">
        <f t="shared" si="2"/>
        <v>59.764000000000003</v>
      </c>
      <c r="Z22" s="32"/>
      <c r="AA22" s="46">
        <v>4.9290000000000003</v>
      </c>
      <c r="AB22" s="46">
        <v>0.46</v>
      </c>
      <c r="AC22" s="46">
        <v>0.42499999999999999</v>
      </c>
      <c r="AD22" s="46">
        <v>3.5000000000000003E-2</v>
      </c>
      <c r="AE22" s="46">
        <v>6.6000000000000003E-2</v>
      </c>
      <c r="AF22" s="46">
        <v>5.0000000000000001E-3</v>
      </c>
      <c r="AG22" s="32">
        <f t="shared" si="3"/>
        <v>5.46</v>
      </c>
      <c r="AH22" s="32"/>
      <c r="AI22" s="34">
        <v>5.5670000000000002</v>
      </c>
      <c r="AJ22" s="34">
        <v>2.4590000000000001</v>
      </c>
      <c r="AK22" s="34">
        <v>2.456</v>
      </c>
      <c r="AL22" s="34">
        <v>3.0000000000000001E-3</v>
      </c>
      <c r="AM22" s="34">
        <v>0.27300000000000002</v>
      </c>
      <c r="AN22" s="34">
        <v>0</v>
      </c>
      <c r="AO22" s="32">
        <f t="shared" si="4"/>
        <v>8.2989999999999995</v>
      </c>
      <c r="AP22" s="32"/>
      <c r="AQ22" s="34"/>
      <c r="AR22" s="34"/>
      <c r="AS22" s="34"/>
      <c r="AT22" s="34"/>
      <c r="AU22" s="34"/>
      <c r="AV22" s="34"/>
      <c r="AW22" s="32">
        <f t="shared" si="5"/>
        <v>0</v>
      </c>
      <c r="AX22" s="32"/>
      <c r="AY22" s="31" t="s">
        <v>232</v>
      </c>
      <c r="AZ22" s="31" t="s">
        <v>232</v>
      </c>
      <c r="BA22" s="31" t="s">
        <v>232</v>
      </c>
      <c r="BB22" s="31" t="s">
        <v>232</v>
      </c>
      <c r="BC22" s="31" t="s">
        <v>232</v>
      </c>
      <c r="BD22" s="31" t="s">
        <v>232</v>
      </c>
      <c r="BE22" s="32">
        <f t="shared" si="50"/>
        <v>0</v>
      </c>
      <c r="BF22" s="32"/>
      <c r="BG22" s="10">
        <f t="shared" si="51"/>
        <v>130</v>
      </c>
      <c r="BH22" s="10">
        <f t="shared" si="6"/>
        <v>267</v>
      </c>
      <c r="BI22" s="10">
        <f t="shared" si="7"/>
        <v>148</v>
      </c>
      <c r="BJ22" s="10" t="str">
        <f t="shared" si="7"/>
        <v>-</v>
      </c>
      <c r="BK22" s="10">
        <f t="shared" si="7"/>
        <v>542</v>
      </c>
      <c r="BM22" s="10">
        <f t="shared" si="8"/>
        <v>130</v>
      </c>
      <c r="BN22" s="10">
        <f t="shared" si="8"/>
        <v>267</v>
      </c>
      <c r="BO22" s="10">
        <f t="shared" si="9"/>
        <v>148</v>
      </c>
      <c r="BP22" s="10" t="str">
        <f t="shared" si="9"/>
        <v>-</v>
      </c>
      <c r="BQ22" s="10">
        <f t="shared" si="9"/>
        <v>542</v>
      </c>
      <c r="BS22" s="46">
        <v>7</v>
      </c>
      <c r="BT22" s="46">
        <v>15</v>
      </c>
      <c r="BU22" s="34">
        <v>8</v>
      </c>
      <c r="BV22" s="34">
        <v>7</v>
      </c>
      <c r="BW22" s="46">
        <v>29</v>
      </c>
      <c r="BX22" s="46">
        <v>-1</v>
      </c>
      <c r="BY22" s="32">
        <f t="shared" si="59"/>
        <v>50</v>
      </c>
      <c r="BZ22" s="32"/>
      <c r="CA22" s="46">
        <v>79</v>
      </c>
      <c r="CB22" s="46">
        <v>112</v>
      </c>
      <c r="CC22" s="34">
        <v>92</v>
      </c>
      <c r="CD22" s="34">
        <v>20</v>
      </c>
      <c r="CE22" s="46">
        <v>42</v>
      </c>
      <c r="CF22" s="46">
        <v>-2</v>
      </c>
      <c r="CG22" s="32">
        <f t="shared" si="57"/>
        <v>231</v>
      </c>
      <c r="CH22" s="32"/>
      <c r="CI22" s="34">
        <v>44</v>
      </c>
      <c r="CJ22" s="34">
        <v>140</v>
      </c>
      <c r="CK22" s="34">
        <v>140</v>
      </c>
      <c r="CL22" s="34">
        <v>0</v>
      </c>
      <c r="CM22" s="34">
        <v>77</v>
      </c>
      <c r="CN22" s="34">
        <v>0</v>
      </c>
      <c r="CO22" s="32">
        <f t="shared" si="58"/>
        <v>261</v>
      </c>
      <c r="CP22" s="32"/>
      <c r="CQ22" s="34"/>
      <c r="CR22" s="34"/>
      <c r="CS22" s="34"/>
      <c r="CT22" s="34"/>
      <c r="CU22" s="34"/>
      <c r="CV22" s="34"/>
      <c r="CW22" s="32">
        <f t="shared" si="60"/>
        <v>0</v>
      </c>
      <c r="CX22" s="32"/>
      <c r="CY22" s="31" t="s">
        <v>232</v>
      </c>
      <c r="CZ22" s="31" t="s">
        <v>232</v>
      </c>
      <c r="DA22" s="31" t="s">
        <v>232</v>
      </c>
      <c r="DB22" s="31" t="s">
        <v>232</v>
      </c>
      <c r="DC22" s="31" t="s">
        <v>232</v>
      </c>
      <c r="DD22" s="31" t="s">
        <v>232</v>
      </c>
      <c r="DE22" s="32">
        <f t="shared" si="12"/>
        <v>0</v>
      </c>
      <c r="DF22" s="32"/>
      <c r="DG22" s="37">
        <f t="shared" si="13"/>
        <v>0.91674714035063865</v>
      </c>
      <c r="DH22" s="37">
        <f t="shared" si="13"/>
        <v>7.1909470505828105E-2</v>
      </c>
      <c r="DI22" s="37">
        <f t="shared" si="14"/>
        <v>1.0024074099261458E-2</v>
      </c>
      <c r="DJ22" s="37">
        <f t="shared" si="14"/>
        <v>1.3193150442718606E-3</v>
      </c>
      <c r="DK22" s="32"/>
      <c r="DL22" s="37">
        <f t="shared" si="15"/>
        <v>0.95217856903821696</v>
      </c>
      <c r="DM22" s="37">
        <f t="shared" si="15"/>
        <v>3.962251522655779E-2</v>
      </c>
      <c r="DN22" s="37">
        <f t="shared" si="16"/>
        <v>6.6595274747339537E-3</v>
      </c>
      <c r="DO22" s="37">
        <f t="shared" si="16"/>
        <v>1.5393882604912655E-3</v>
      </c>
      <c r="DP22" s="32"/>
      <c r="DQ22" s="37">
        <f t="shared" si="17"/>
        <v>0.90274725274725276</v>
      </c>
      <c r="DR22" s="37">
        <f t="shared" si="17"/>
        <v>8.4249084249084255E-2</v>
      </c>
      <c r="DS22" s="37">
        <f t="shared" si="18"/>
        <v>1.2087912087912088E-2</v>
      </c>
      <c r="DT22" s="37">
        <f t="shared" si="18"/>
        <v>9.1575091575091575E-4</v>
      </c>
      <c r="DU22" s="32"/>
      <c r="DV22" s="37">
        <f t="shared" si="19"/>
        <v>0.67080371129051697</v>
      </c>
      <c r="DW22" s="37">
        <f t="shared" si="19"/>
        <v>0.29630075912760578</v>
      </c>
      <c r="DX22" s="37">
        <f t="shared" si="20"/>
        <v>3.2895529581877338E-2</v>
      </c>
      <c r="DY22" s="37" t="str">
        <f t="shared" si="20"/>
        <v>-</v>
      </c>
      <c r="DZ22" s="32"/>
      <c r="EA22" s="37" t="str">
        <f t="shared" si="21"/>
        <v>-</v>
      </c>
      <c r="EB22" s="37" t="str">
        <f t="shared" si="21"/>
        <v>-</v>
      </c>
      <c r="EC22" s="37" t="str">
        <f t="shared" si="22"/>
        <v>-</v>
      </c>
      <c r="ED22" s="37" t="str">
        <f t="shared" si="22"/>
        <v>-</v>
      </c>
      <c r="EE22" s="32"/>
      <c r="EF22" s="38">
        <f t="shared" si="23"/>
        <v>7.93918918918919E-2</v>
      </c>
      <c r="EG22" s="38">
        <f t="shared" si="24"/>
        <v>7.6086956521739135E-2</v>
      </c>
      <c r="EH22" s="38">
        <f t="shared" si="25"/>
        <v>1.2200081333875558E-3</v>
      </c>
      <c r="EI22" s="38" t="str">
        <f t="shared" si="26"/>
        <v>-</v>
      </c>
      <c r="EJ22" s="38">
        <f t="shared" si="27"/>
        <v>4.2746358993758275E-2</v>
      </c>
      <c r="EK22" s="32"/>
      <c r="EL22" s="39">
        <f t="shared" si="28"/>
        <v>1.9287261505593306E-3</v>
      </c>
      <c r="EM22" s="39">
        <f t="shared" si="28"/>
        <v>5.0501229430679022E-2</v>
      </c>
      <c r="EN22" s="39">
        <f t="shared" si="29"/>
        <v>0.20081411126187243</v>
      </c>
      <c r="EO22" s="39" t="str">
        <f t="shared" si="29"/>
        <v>-</v>
      </c>
      <c r="EP22" s="39">
        <f t="shared" si="29"/>
        <v>7.3718428246943137E-3</v>
      </c>
      <c r="ER22" s="39">
        <f t="shared" si="30"/>
        <v>1.2300987593575371E-4</v>
      </c>
      <c r="ES22" s="40">
        <f t="shared" si="30"/>
        <v>6.3344594594594598E-3</v>
      </c>
      <c r="ET22" s="40">
        <f t="shared" si="31"/>
        <v>7.2864321608040197E-2</v>
      </c>
      <c r="EU22" s="40" t="str">
        <f t="shared" si="31"/>
        <v>-</v>
      </c>
      <c r="EV22" s="40">
        <f t="shared" si="31"/>
        <v>8.3662405461481821E-4</v>
      </c>
      <c r="EW22" s="32"/>
      <c r="EX22" s="39">
        <f t="shared" si="32"/>
        <v>1.6027591803611279E-2</v>
      </c>
      <c r="EY22" s="40">
        <f t="shared" si="32"/>
        <v>0.24347826086956523</v>
      </c>
      <c r="EZ22" s="40">
        <f t="shared" si="33"/>
        <v>0.63636363636363635</v>
      </c>
      <c r="FA22" s="40" t="str">
        <f t="shared" si="33"/>
        <v>-</v>
      </c>
      <c r="FB22" s="40">
        <f t="shared" si="33"/>
        <v>4.230769230769231E-2</v>
      </c>
      <c r="FC22" s="32"/>
      <c r="FD22" s="39">
        <f t="shared" si="34"/>
        <v>7.9037183402191485E-3</v>
      </c>
      <c r="FE22" s="40">
        <f t="shared" si="34"/>
        <v>5.6933712891419276E-2</v>
      </c>
      <c r="FF22" s="40">
        <f t="shared" si="35"/>
        <v>0.28205128205128205</v>
      </c>
      <c r="FG22" s="40" t="str">
        <f t="shared" si="35"/>
        <v>-</v>
      </c>
      <c r="FH22" s="40">
        <f t="shared" si="35"/>
        <v>3.1449572237618989E-2</v>
      </c>
      <c r="FI22" s="32"/>
      <c r="FJ22" s="39" t="str">
        <f t="shared" si="36"/>
        <v>-</v>
      </c>
      <c r="FK22" s="39" t="str">
        <f t="shared" si="36"/>
        <v>-</v>
      </c>
      <c r="FL22" s="39" t="str">
        <f t="shared" si="37"/>
        <v>-</v>
      </c>
      <c r="FM22" s="39" t="str">
        <f t="shared" si="37"/>
        <v>-</v>
      </c>
      <c r="FN22" s="39" t="str">
        <f t="shared" si="37"/>
        <v>-</v>
      </c>
      <c r="FP22" s="66"/>
      <c r="FQ22" s="66"/>
      <c r="FR22" s="67"/>
      <c r="FS22" s="67"/>
      <c r="FT22" s="42">
        <f t="shared" ref="FT22:FT24" si="62">SUM(FP22:FS22)</f>
        <v>0</v>
      </c>
      <c r="FV22" s="43" t="str">
        <f t="shared" si="39"/>
        <v>-</v>
      </c>
      <c r="FW22" s="43" t="str">
        <f t="shared" si="40"/>
        <v>-</v>
      </c>
      <c r="FX22" s="43" t="str">
        <f t="shared" si="41"/>
        <v>-</v>
      </c>
      <c r="FY22" s="43" t="str">
        <f t="shared" si="42"/>
        <v>-</v>
      </c>
      <c r="FZ22" s="43" t="str">
        <f t="shared" si="43"/>
        <v>-</v>
      </c>
      <c r="GB22" s="66"/>
      <c r="GC22" s="66"/>
      <c r="GD22" s="67"/>
      <c r="GE22" s="67"/>
      <c r="GF22" s="28" t="str">
        <f t="shared" ref="GF22:GF23" si="63">IF(SUM(GB22:GE22)=0,"-",SUM(GB22:GE22))</f>
        <v>-</v>
      </c>
      <c r="GH22" s="43" t="str">
        <f t="shared" si="45"/>
        <v>-</v>
      </c>
      <c r="GI22" s="43" t="str">
        <f t="shared" si="46"/>
        <v>-</v>
      </c>
      <c r="GJ22" s="43" t="str">
        <f t="shared" si="47"/>
        <v>-</v>
      </c>
      <c r="GK22" s="43" t="str">
        <f t="shared" si="48"/>
        <v>-</v>
      </c>
      <c r="GL22" s="43" t="str">
        <f t="shared" si="49"/>
        <v>-</v>
      </c>
      <c r="GN22" s="42">
        <f t="shared" si="54"/>
        <v>397</v>
      </c>
      <c r="GO22">
        <f t="shared" si="55"/>
        <v>72689</v>
      </c>
    </row>
    <row r="23" spans="1:197" x14ac:dyDescent="0.25">
      <c r="A23" s="29" t="s">
        <v>241</v>
      </c>
      <c r="B23" s="29"/>
      <c r="C23" s="10" t="str">
        <f t="shared" ref="C23:I24" si="64">IF(SUM(S23,AA23,AI23,AY23)&lt;=0,"-",SUM(S23,AA23,AI23,AQ23,AY23))</f>
        <v>-</v>
      </c>
      <c r="D23" s="10" t="str">
        <f t="shared" si="64"/>
        <v>-</v>
      </c>
      <c r="E23" s="10" t="str">
        <f t="shared" si="64"/>
        <v>-</v>
      </c>
      <c r="F23" s="10" t="str">
        <f t="shared" si="64"/>
        <v>-</v>
      </c>
      <c r="G23" s="10" t="str">
        <f t="shared" si="64"/>
        <v>-</v>
      </c>
      <c r="H23" s="10" t="str">
        <f t="shared" si="64"/>
        <v>-</v>
      </c>
      <c r="I23" s="10" t="str">
        <f t="shared" si="64"/>
        <v>-</v>
      </c>
      <c r="K23" s="10" t="str">
        <f t="shared" ref="K23:Q24" si="65">IF(SUM(S23,AA23,AI23,AQ23)&lt;=0,"-",SUM(S23,AA23,AI23,AQ23))</f>
        <v>-</v>
      </c>
      <c r="L23" s="10" t="str">
        <f t="shared" si="65"/>
        <v>-</v>
      </c>
      <c r="M23" s="10" t="str">
        <f t="shared" si="65"/>
        <v>-</v>
      </c>
      <c r="N23" s="10" t="str">
        <f t="shared" si="65"/>
        <v>-</v>
      </c>
      <c r="O23" s="10" t="str">
        <f t="shared" si="65"/>
        <v>-</v>
      </c>
      <c r="P23" s="10" t="str">
        <f t="shared" si="65"/>
        <v>-</v>
      </c>
      <c r="Q23" s="10" t="str">
        <f t="shared" si="65"/>
        <v>-</v>
      </c>
      <c r="S23" s="46"/>
      <c r="T23" s="46"/>
      <c r="U23" s="46"/>
      <c r="V23" s="46"/>
      <c r="W23" s="46"/>
      <c r="X23" s="46"/>
      <c r="Y23" s="32">
        <f t="shared" si="2"/>
        <v>0</v>
      </c>
      <c r="Z23" s="32"/>
      <c r="AA23" s="46"/>
      <c r="AB23" s="46"/>
      <c r="AC23" s="46"/>
      <c r="AD23" s="46"/>
      <c r="AE23" s="46"/>
      <c r="AF23" s="46"/>
      <c r="AG23" s="32">
        <f t="shared" si="3"/>
        <v>0</v>
      </c>
      <c r="AH23" s="32"/>
      <c r="AI23" s="34"/>
      <c r="AJ23" s="34"/>
      <c r="AK23" s="34"/>
      <c r="AL23" s="34"/>
      <c r="AM23" s="34"/>
      <c r="AN23" s="34"/>
      <c r="AO23" s="32">
        <f t="shared" si="4"/>
        <v>0</v>
      </c>
      <c r="AP23" s="32"/>
      <c r="AQ23" s="34"/>
      <c r="AR23" s="34"/>
      <c r="AS23" s="34"/>
      <c r="AT23" s="34"/>
      <c r="AU23" s="34"/>
      <c r="AV23" s="34"/>
      <c r="AW23" s="32">
        <f t="shared" si="5"/>
        <v>0</v>
      </c>
      <c r="AX23" s="32"/>
      <c r="AY23" s="31" t="s">
        <v>232</v>
      </c>
      <c r="AZ23" s="31" t="s">
        <v>232</v>
      </c>
      <c r="BA23" s="31" t="s">
        <v>232</v>
      </c>
      <c r="BB23" s="31" t="s">
        <v>232</v>
      </c>
      <c r="BC23" s="31" t="s">
        <v>232</v>
      </c>
      <c r="BD23" s="31" t="s">
        <v>232</v>
      </c>
      <c r="BE23" s="32">
        <f t="shared" si="50"/>
        <v>0</v>
      </c>
      <c r="BF23" s="32"/>
      <c r="BG23" s="10" t="str">
        <f t="shared" si="51"/>
        <v>-</v>
      </c>
      <c r="BH23" s="10" t="str">
        <f t="shared" si="6"/>
        <v>-</v>
      </c>
      <c r="BI23" s="10" t="str">
        <f t="shared" ref="BI23:BK24" si="66">IF(SUM(BW23,CE23,CM23,DC23,CU23)&lt;=0,"-",SUM(BW23,CE23,CM23,DC23,CU23))</f>
        <v>-</v>
      </c>
      <c r="BJ23" s="10" t="str">
        <f t="shared" si="66"/>
        <v>-</v>
      </c>
      <c r="BK23" s="10" t="str">
        <f t="shared" si="66"/>
        <v>-</v>
      </c>
      <c r="BM23" s="10" t="str">
        <f t="shared" ref="BM23:BN24" si="67">IF(SUM(BS23,CA23,CI23,CQ23)&lt;=0,"-",SUM(BS23,CA23,CI23,CQ23))</f>
        <v>-</v>
      </c>
      <c r="BN23" s="10" t="str">
        <f t="shared" si="67"/>
        <v>-</v>
      </c>
      <c r="BO23" s="10" t="str">
        <f t="shared" ref="BO23:BQ24" si="68">IF(SUM(BW23,CE23,CM23,CU23)&lt;=0,"-",SUM(BW23,CE23,CM23,CU23))</f>
        <v>-</v>
      </c>
      <c r="BP23" s="10" t="str">
        <f t="shared" si="68"/>
        <v>-</v>
      </c>
      <c r="BQ23" s="10" t="str">
        <f t="shared" si="68"/>
        <v>-</v>
      </c>
      <c r="BS23" s="46"/>
      <c r="BT23" s="46"/>
      <c r="BU23" s="34"/>
      <c r="BV23" s="34"/>
      <c r="BW23" s="46"/>
      <c r="BX23" s="46"/>
      <c r="BY23" s="32">
        <f t="shared" si="59"/>
        <v>0</v>
      </c>
      <c r="BZ23" s="32"/>
      <c r="CA23" s="46"/>
      <c r="CB23" s="46"/>
      <c r="CC23" s="34"/>
      <c r="CD23" s="34"/>
      <c r="CE23" s="46"/>
      <c r="CF23" s="46"/>
      <c r="CG23" s="32">
        <f t="shared" si="57"/>
        <v>0</v>
      </c>
      <c r="CH23" s="32"/>
      <c r="CI23" s="34"/>
      <c r="CJ23" s="34"/>
      <c r="CK23" s="34"/>
      <c r="CL23" s="34"/>
      <c r="CM23" s="34"/>
      <c r="CN23" s="34"/>
      <c r="CO23" s="32">
        <f t="shared" si="58"/>
        <v>0</v>
      </c>
      <c r="CP23" s="32"/>
      <c r="CQ23" s="34"/>
      <c r="CR23" s="34"/>
      <c r="CS23" s="34"/>
      <c r="CT23" s="34"/>
      <c r="CU23" s="34"/>
      <c r="CV23" s="34"/>
      <c r="CW23" s="32">
        <f t="shared" si="60"/>
        <v>0</v>
      </c>
      <c r="CX23" s="32"/>
      <c r="CY23" s="31" t="s">
        <v>232</v>
      </c>
      <c r="CZ23" s="31" t="s">
        <v>232</v>
      </c>
      <c r="DA23" s="31" t="s">
        <v>232</v>
      </c>
      <c r="DB23" s="31" t="s">
        <v>232</v>
      </c>
      <c r="DC23" s="31" t="s">
        <v>232</v>
      </c>
      <c r="DD23" s="31" t="s">
        <v>232</v>
      </c>
      <c r="DE23" s="32">
        <f t="shared" si="12"/>
        <v>0</v>
      </c>
      <c r="DF23" s="32"/>
      <c r="DG23" s="37" t="str">
        <f t="shared" ref="DG23:DH24" si="69">IF(ISERROR(K23/$Q23),"-",IF(K23/$Q23&lt;=0,"-",K23/$Q23))</f>
        <v>-</v>
      </c>
      <c r="DH23" s="37" t="str">
        <f t="shared" si="69"/>
        <v>-</v>
      </c>
      <c r="DI23" s="37" t="str">
        <f t="shared" ref="DI23:DJ24" si="70">IF(ISERROR(O23/$Q23),"-",IF(O23/$Q23&lt;=0,"-",O23/$Q23))</f>
        <v>-</v>
      </c>
      <c r="DJ23" s="37" t="str">
        <f t="shared" si="70"/>
        <v>-</v>
      </c>
      <c r="DK23" s="32"/>
      <c r="DL23" s="37" t="str">
        <f t="shared" ref="DL23:DM24" si="71">IF(ISERROR(S23/$Y23),"-",IF(S23/$Y23&lt;=0,"-",S23/$Y23))</f>
        <v>-</v>
      </c>
      <c r="DM23" s="37" t="str">
        <f t="shared" si="71"/>
        <v>-</v>
      </c>
      <c r="DN23" s="37" t="str">
        <f t="shared" ref="DN23:DO24" si="72">IF(ISERROR(W23/$Y23),"-",IF(W23/$Y23&lt;=0,"-",W23/$Y23))</f>
        <v>-</v>
      </c>
      <c r="DO23" s="37" t="str">
        <f t="shared" si="72"/>
        <v>-</v>
      </c>
      <c r="DP23" s="32"/>
      <c r="DQ23" s="37" t="str">
        <f t="shared" ref="DQ23:DR24" si="73">IF(ISERROR(AA23/$AG23),"-",IF(AA23/$AG23&lt;=0,"-",AA23/$AG23))</f>
        <v>-</v>
      </c>
      <c r="DR23" s="37" t="str">
        <f t="shared" si="73"/>
        <v>-</v>
      </c>
      <c r="DS23" s="37" t="str">
        <f t="shared" ref="DS23:DT24" si="74">IF(ISERROR(AE23/$AG23),"-",IF(AE23/$AG23&lt;=0,"-",AE23/$AG23))</f>
        <v>-</v>
      </c>
      <c r="DT23" s="37" t="str">
        <f t="shared" si="74"/>
        <v>-</v>
      </c>
      <c r="DU23" s="32"/>
      <c r="DV23" s="37" t="str">
        <f t="shared" ref="DV23:DW24" si="75">IF(ISERROR(AI23/$AO23),"-",IF(AI23/$AO23&lt;=0,"-",AI23/$AO23))</f>
        <v>-</v>
      </c>
      <c r="DW23" s="37" t="str">
        <f t="shared" si="75"/>
        <v>-</v>
      </c>
      <c r="DX23" s="37" t="str">
        <f t="shared" ref="DX23:DY24" si="76">IF(ISERROR(AM23/$AM23),"-",IF(AM23/$AO23&lt;=0,"-",AM23/$AO23))</f>
        <v>-</v>
      </c>
      <c r="DY23" s="37" t="str">
        <f t="shared" si="76"/>
        <v>-</v>
      </c>
      <c r="DZ23" s="32"/>
      <c r="EA23" s="37" t="str">
        <f t="shared" ref="EA23:EB24" si="77">IF(ISERROR(AQ23/$AW23),"-",IF(AQ23/$AW23&lt;=0,"-",AQ23/$AW23))</f>
        <v>-</v>
      </c>
      <c r="EB23" s="37" t="str">
        <f t="shared" si="77"/>
        <v>-</v>
      </c>
      <c r="EC23" s="37" t="str">
        <f t="shared" ref="EC23:ED24" si="78">IF(ISERROR(AU23/$AW23),"-",IF(AU23/$AW23&lt;=0,"-",AU23/$AW23))</f>
        <v>-</v>
      </c>
      <c r="ED23" s="37" t="str">
        <f t="shared" si="78"/>
        <v>-</v>
      </c>
      <c r="EE23" s="32"/>
      <c r="EF23" s="38" t="str">
        <f t="shared" si="23"/>
        <v>-</v>
      </c>
      <c r="EG23" s="38" t="str">
        <f t="shared" si="24"/>
        <v>-</v>
      </c>
      <c r="EH23" s="38" t="str">
        <f t="shared" si="25"/>
        <v>-</v>
      </c>
      <c r="EI23" s="38" t="str">
        <f t="shared" si="26"/>
        <v>-</v>
      </c>
      <c r="EJ23" s="38" t="str">
        <f t="shared" si="27"/>
        <v>-</v>
      </c>
      <c r="EK23" s="32"/>
      <c r="EL23" s="39" t="str">
        <f t="shared" ref="EL23:EM24" si="79">IF(ISERROR(BM23/K23/1000),"-",IF((BM23/K23/1000)&lt;=0,"-",BM23/K23/1000))</f>
        <v>-</v>
      </c>
      <c r="EM23" s="39" t="str">
        <f t="shared" si="79"/>
        <v>-</v>
      </c>
      <c r="EN23" s="39" t="str">
        <f t="shared" ref="EN23:EP24" si="80">IF(ISERROR(BO23/O23/1000),"-",IF((BO23/O23/1000)&lt;=0,"-",BO23/O23/1000))</f>
        <v>-</v>
      </c>
      <c r="EO23" s="39" t="str">
        <f t="shared" si="80"/>
        <v>-</v>
      </c>
      <c r="EP23" s="39" t="str">
        <f t="shared" si="80"/>
        <v>-</v>
      </c>
      <c r="ER23" s="39" t="str">
        <f t="shared" ref="ER23:ES24" si="81">IF(OR(BS23=0,S23=0),"-",IF(ISERROR(BS23/S23/1000),"-",IF((BS23/S23/1000)&lt;=0,"-",BS23/S23/1000)))</f>
        <v>-</v>
      </c>
      <c r="ES23" s="40" t="str">
        <f t="shared" si="81"/>
        <v>-</v>
      </c>
      <c r="ET23" s="40" t="str">
        <f t="shared" ref="ET23:EV24" si="82">IF(OR(BW23=0,W23=0),"-",IF(ISERROR(BW23/W23/1000),"-",IF((BW23/W23/1000)&lt;=0,"-",BW23/W23/1000)))</f>
        <v>-</v>
      </c>
      <c r="EU23" s="40" t="str">
        <f t="shared" si="82"/>
        <v>-</v>
      </c>
      <c r="EV23" s="40" t="str">
        <f t="shared" si="82"/>
        <v>-</v>
      </c>
      <c r="EW23" s="32"/>
      <c r="EX23" s="39" t="str">
        <f t="shared" ref="EX23:EY24" si="83">IF(OR(CA23=0,AA23=0),"-",IF(ISERROR(CA23/AA23/1000),"-",IF((CA23/AA23/1000)&lt;=0,"-",CA23/AA23/1000)))</f>
        <v>-</v>
      </c>
      <c r="EY23" s="40" t="str">
        <f t="shared" si="83"/>
        <v>-</v>
      </c>
      <c r="EZ23" s="40" t="str">
        <f t="shared" ref="EZ23:FB24" si="84">IF(OR(CE23=0,AE23=0),"-",IF(ISERROR(CE23/AE23/1000),"-",IF((CE23/AE23/1000)&lt;=0,"-",CE23/AE23/1000)))</f>
        <v>-</v>
      </c>
      <c r="FA23" s="40" t="str">
        <f t="shared" si="84"/>
        <v>-</v>
      </c>
      <c r="FB23" s="40" t="str">
        <f t="shared" si="84"/>
        <v>-</v>
      </c>
      <c r="FC23" s="32"/>
      <c r="FD23" s="39" t="str">
        <f t="shared" ref="FD23:FE24" si="85">IF(OR(CI23=0,AI23=0),"-",IF(ISERROR(CI23/AI23/1000),"-",IF((CI23/AI23/1000)&lt;=0,"-",CI23/AI23/1000)))</f>
        <v>-</v>
      </c>
      <c r="FE23" s="40" t="str">
        <f t="shared" si="85"/>
        <v>-</v>
      </c>
      <c r="FF23" s="40" t="str">
        <f t="shared" ref="FF23:FH24" si="86">IF(OR(CM23=0,AM23=0),"-",IF(ISERROR(CM23/AM23/1000),"-",IF((CM23/AM23/1000)&lt;=0,"-",CM23/AM23/1000)))</f>
        <v>-</v>
      </c>
      <c r="FG23" s="40" t="str">
        <f t="shared" si="86"/>
        <v>-</v>
      </c>
      <c r="FH23" s="40" t="str">
        <f t="shared" si="86"/>
        <v>-</v>
      </c>
      <c r="FI23" s="32"/>
      <c r="FJ23" s="39" t="str">
        <f t="shared" ref="FJ23:FK24" si="87">IF(OR(CQ23=0,AQ23=0),"-",IF(ISERROR(CQ23/AQ23/1000),"-",IF((CQ23/AQ23/1000)&lt;=0,"-",CQ23/AQ23/1000)))</f>
        <v>-</v>
      </c>
      <c r="FK23" s="39" t="str">
        <f t="shared" si="87"/>
        <v>-</v>
      </c>
      <c r="FL23" s="39" t="str">
        <f t="shared" ref="FL23:FN24" si="88">IF(OR(CU23=0,AU23=0),"-",IF(ISERROR(CU23/AU23/1000),"-",IF((CU23/AU23/1000)&lt;=0,"-",CU23/AU23/1000)))</f>
        <v>-</v>
      </c>
      <c r="FM23" s="39" t="str">
        <f t="shared" si="88"/>
        <v>-</v>
      </c>
      <c r="FN23" s="39" t="str">
        <f t="shared" si="88"/>
        <v>-</v>
      </c>
      <c r="FP23" s="66"/>
      <c r="FQ23" s="66"/>
      <c r="FR23" s="67"/>
      <c r="FS23" s="67"/>
      <c r="FT23" s="42">
        <f t="shared" si="62"/>
        <v>0</v>
      </c>
      <c r="FV23" s="43" t="str">
        <f t="shared" si="39"/>
        <v>-</v>
      </c>
      <c r="FW23" s="43" t="str">
        <f t="shared" si="40"/>
        <v>-</v>
      </c>
      <c r="FX23" s="43" t="str">
        <f t="shared" si="41"/>
        <v>-</v>
      </c>
      <c r="FY23" s="43" t="str">
        <f t="shared" si="42"/>
        <v>-</v>
      </c>
      <c r="FZ23" s="43" t="str">
        <f t="shared" si="43"/>
        <v>-</v>
      </c>
      <c r="GB23" s="66"/>
      <c r="GC23" s="66"/>
      <c r="GD23" s="67"/>
      <c r="GE23" s="67"/>
      <c r="GF23" s="28" t="str">
        <f t="shared" si="63"/>
        <v>-</v>
      </c>
      <c r="GH23" s="43" t="str">
        <f t="shared" si="45"/>
        <v>-</v>
      </c>
      <c r="GI23" s="43" t="str">
        <f t="shared" si="46"/>
        <v>-</v>
      </c>
      <c r="GJ23" s="43" t="str">
        <f t="shared" si="47"/>
        <v>-</v>
      </c>
      <c r="GK23" s="43" t="str">
        <f t="shared" si="48"/>
        <v>-</v>
      </c>
      <c r="GL23" s="43" t="str">
        <f t="shared" si="49"/>
        <v>-</v>
      </c>
      <c r="GN23" s="42">
        <f t="shared" si="54"/>
        <v>0</v>
      </c>
      <c r="GO23">
        <f t="shared" si="55"/>
        <v>0</v>
      </c>
    </row>
    <row r="24" spans="1:197" x14ac:dyDescent="0.25">
      <c r="A24" s="29" t="s">
        <v>242</v>
      </c>
      <c r="B24" s="29"/>
      <c r="C24" s="10" t="str">
        <f t="shared" si="64"/>
        <v>-</v>
      </c>
      <c r="D24" s="10" t="str">
        <f t="shared" si="64"/>
        <v>-</v>
      </c>
      <c r="E24" s="10" t="str">
        <f t="shared" si="64"/>
        <v>-</v>
      </c>
      <c r="F24" s="10" t="str">
        <f t="shared" si="64"/>
        <v>-</v>
      </c>
      <c r="G24" s="10" t="str">
        <f t="shared" si="64"/>
        <v>-</v>
      </c>
      <c r="H24" s="10" t="str">
        <f t="shared" si="64"/>
        <v>-</v>
      </c>
      <c r="I24" s="10" t="str">
        <f t="shared" si="64"/>
        <v>-</v>
      </c>
      <c r="K24" s="10" t="str">
        <f t="shared" si="65"/>
        <v>-</v>
      </c>
      <c r="L24" s="10" t="str">
        <f t="shared" si="65"/>
        <v>-</v>
      </c>
      <c r="M24" s="10" t="str">
        <f t="shared" si="65"/>
        <v>-</v>
      </c>
      <c r="N24" s="10" t="str">
        <f t="shared" si="65"/>
        <v>-</v>
      </c>
      <c r="O24" s="10" t="str">
        <f t="shared" si="65"/>
        <v>-</v>
      </c>
      <c r="P24" s="10" t="str">
        <f t="shared" si="65"/>
        <v>-</v>
      </c>
      <c r="Q24" s="10" t="str">
        <f t="shared" si="65"/>
        <v>-</v>
      </c>
      <c r="S24" s="46"/>
      <c r="T24" s="46"/>
      <c r="U24" s="46"/>
      <c r="V24" s="46"/>
      <c r="W24" s="46"/>
      <c r="X24" s="46"/>
      <c r="Y24" s="32">
        <f t="shared" si="2"/>
        <v>0</v>
      </c>
      <c r="Z24" s="32"/>
      <c r="AA24" s="46"/>
      <c r="AB24" s="46"/>
      <c r="AC24" s="46"/>
      <c r="AD24" s="46"/>
      <c r="AE24" s="46"/>
      <c r="AF24" s="46"/>
      <c r="AG24" s="32">
        <f t="shared" si="3"/>
        <v>0</v>
      </c>
      <c r="AH24" s="32"/>
      <c r="AI24" s="34"/>
      <c r="AJ24" s="34"/>
      <c r="AK24" s="34"/>
      <c r="AL24" s="34"/>
      <c r="AM24" s="34"/>
      <c r="AN24" s="34"/>
      <c r="AO24" s="32">
        <f t="shared" si="4"/>
        <v>0</v>
      </c>
      <c r="AP24" s="32"/>
      <c r="AQ24" s="34"/>
      <c r="AR24" s="34"/>
      <c r="AS24" s="34"/>
      <c r="AT24" s="34"/>
      <c r="AU24" s="34"/>
      <c r="AV24" s="34"/>
      <c r="AW24" s="32">
        <f t="shared" si="5"/>
        <v>0</v>
      </c>
      <c r="AX24" s="32"/>
      <c r="AY24" s="31" t="s">
        <v>232</v>
      </c>
      <c r="AZ24" s="31" t="s">
        <v>232</v>
      </c>
      <c r="BA24" s="31" t="s">
        <v>232</v>
      </c>
      <c r="BB24" s="31" t="s">
        <v>232</v>
      </c>
      <c r="BC24" s="31" t="s">
        <v>232</v>
      </c>
      <c r="BD24" s="31" t="s">
        <v>232</v>
      </c>
      <c r="BE24" s="32">
        <f t="shared" si="50"/>
        <v>0</v>
      </c>
      <c r="BF24" s="32"/>
      <c r="BG24" s="10" t="str">
        <f t="shared" si="51"/>
        <v>-</v>
      </c>
      <c r="BH24" s="10" t="str">
        <f t="shared" si="6"/>
        <v>-</v>
      </c>
      <c r="BI24" s="10" t="str">
        <f t="shared" si="66"/>
        <v>-</v>
      </c>
      <c r="BJ24" s="10" t="str">
        <f t="shared" si="66"/>
        <v>-</v>
      </c>
      <c r="BK24" s="10" t="str">
        <f t="shared" si="66"/>
        <v>-</v>
      </c>
      <c r="BM24" s="10" t="str">
        <f t="shared" si="67"/>
        <v>-</v>
      </c>
      <c r="BN24" s="10" t="str">
        <f t="shared" si="67"/>
        <v>-</v>
      </c>
      <c r="BO24" s="10" t="str">
        <f t="shared" si="68"/>
        <v>-</v>
      </c>
      <c r="BP24" s="10" t="str">
        <f t="shared" si="68"/>
        <v>-</v>
      </c>
      <c r="BQ24" s="10" t="str">
        <f t="shared" si="68"/>
        <v>-</v>
      </c>
      <c r="BS24" s="46"/>
      <c r="BT24" s="46"/>
      <c r="BU24" s="34"/>
      <c r="BV24" s="34"/>
      <c r="BW24" s="46"/>
      <c r="BX24" s="46"/>
      <c r="BY24" s="32">
        <f t="shared" si="59"/>
        <v>0</v>
      </c>
      <c r="BZ24" s="32"/>
      <c r="CA24" s="46"/>
      <c r="CB24" s="46"/>
      <c r="CC24" s="34"/>
      <c r="CD24" s="34"/>
      <c r="CE24" s="46"/>
      <c r="CF24" s="46"/>
      <c r="CG24" s="32">
        <f t="shared" si="57"/>
        <v>0</v>
      </c>
      <c r="CH24" s="32"/>
      <c r="CI24" s="34"/>
      <c r="CJ24" s="34"/>
      <c r="CK24" s="34"/>
      <c r="CL24" s="34"/>
      <c r="CM24" s="34"/>
      <c r="CN24" s="34"/>
      <c r="CO24" s="32">
        <f t="shared" si="58"/>
        <v>0</v>
      </c>
      <c r="CP24" s="32"/>
      <c r="CQ24" s="34"/>
      <c r="CR24" s="34"/>
      <c r="CS24" s="34"/>
      <c r="CT24" s="34"/>
      <c r="CU24" s="34"/>
      <c r="CV24" s="34"/>
      <c r="CW24" s="32">
        <f t="shared" si="60"/>
        <v>0</v>
      </c>
      <c r="CX24" s="32"/>
      <c r="CY24" s="31" t="s">
        <v>232</v>
      </c>
      <c r="CZ24" s="31" t="s">
        <v>232</v>
      </c>
      <c r="DA24" s="31" t="s">
        <v>232</v>
      </c>
      <c r="DB24" s="31" t="s">
        <v>232</v>
      </c>
      <c r="DC24" s="31" t="s">
        <v>232</v>
      </c>
      <c r="DD24" s="31" t="s">
        <v>232</v>
      </c>
      <c r="DE24" s="32">
        <f t="shared" si="12"/>
        <v>0</v>
      </c>
      <c r="DF24" s="32"/>
      <c r="DG24" s="37" t="str">
        <f t="shared" si="69"/>
        <v>-</v>
      </c>
      <c r="DH24" s="37" t="str">
        <f t="shared" si="69"/>
        <v>-</v>
      </c>
      <c r="DI24" s="37" t="str">
        <f t="shared" si="70"/>
        <v>-</v>
      </c>
      <c r="DJ24" s="37" t="str">
        <f t="shared" si="70"/>
        <v>-</v>
      </c>
      <c r="DK24" s="32"/>
      <c r="DL24" s="37" t="str">
        <f t="shared" si="71"/>
        <v>-</v>
      </c>
      <c r="DM24" s="37" t="str">
        <f t="shared" si="71"/>
        <v>-</v>
      </c>
      <c r="DN24" s="37" t="str">
        <f t="shared" si="72"/>
        <v>-</v>
      </c>
      <c r="DO24" s="37" t="str">
        <f t="shared" si="72"/>
        <v>-</v>
      </c>
      <c r="DP24" s="32"/>
      <c r="DQ24" s="37" t="str">
        <f t="shared" si="73"/>
        <v>-</v>
      </c>
      <c r="DR24" s="37" t="str">
        <f t="shared" si="73"/>
        <v>-</v>
      </c>
      <c r="DS24" s="37" t="str">
        <f t="shared" si="74"/>
        <v>-</v>
      </c>
      <c r="DT24" s="37" t="str">
        <f t="shared" si="74"/>
        <v>-</v>
      </c>
      <c r="DU24" s="32"/>
      <c r="DV24" s="37" t="str">
        <f t="shared" si="75"/>
        <v>-</v>
      </c>
      <c r="DW24" s="37" t="str">
        <f t="shared" si="75"/>
        <v>-</v>
      </c>
      <c r="DX24" s="37" t="str">
        <f t="shared" si="76"/>
        <v>-</v>
      </c>
      <c r="DY24" s="37" t="str">
        <f t="shared" si="76"/>
        <v>-</v>
      </c>
      <c r="DZ24" s="32"/>
      <c r="EA24" s="37" t="str">
        <f t="shared" si="77"/>
        <v>-</v>
      </c>
      <c r="EB24" s="37" t="str">
        <f t="shared" si="77"/>
        <v>-</v>
      </c>
      <c r="EC24" s="37" t="str">
        <f t="shared" si="78"/>
        <v>-</v>
      </c>
      <c r="ED24" s="37" t="str">
        <f t="shared" si="78"/>
        <v>-</v>
      </c>
      <c r="EE24" s="32"/>
      <c r="EF24" s="38" t="str">
        <f t="shared" si="23"/>
        <v>-</v>
      </c>
      <c r="EG24" s="38" t="str">
        <f t="shared" si="24"/>
        <v>-</v>
      </c>
      <c r="EH24" s="38" t="str">
        <f t="shared" si="25"/>
        <v>-</v>
      </c>
      <c r="EI24" s="38" t="str">
        <f t="shared" si="26"/>
        <v>-</v>
      </c>
      <c r="EJ24" s="38" t="str">
        <f t="shared" si="27"/>
        <v>-</v>
      </c>
      <c r="EK24" s="32"/>
      <c r="EL24" s="39" t="str">
        <f t="shared" si="79"/>
        <v>-</v>
      </c>
      <c r="EM24" s="39" t="str">
        <f t="shared" si="79"/>
        <v>-</v>
      </c>
      <c r="EN24" s="39" t="str">
        <f t="shared" si="80"/>
        <v>-</v>
      </c>
      <c r="EO24" s="39" t="str">
        <f t="shared" si="80"/>
        <v>-</v>
      </c>
      <c r="EP24" s="39" t="str">
        <f t="shared" si="80"/>
        <v>-</v>
      </c>
      <c r="ER24" s="39" t="str">
        <f t="shared" si="81"/>
        <v>-</v>
      </c>
      <c r="ES24" s="40" t="str">
        <f t="shared" si="81"/>
        <v>-</v>
      </c>
      <c r="ET24" s="40" t="str">
        <f t="shared" si="82"/>
        <v>-</v>
      </c>
      <c r="EU24" s="40" t="str">
        <f t="shared" si="82"/>
        <v>-</v>
      </c>
      <c r="EV24" s="40" t="str">
        <f t="shared" si="82"/>
        <v>-</v>
      </c>
      <c r="EW24" s="32"/>
      <c r="EX24" s="39" t="str">
        <f t="shared" si="83"/>
        <v>-</v>
      </c>
      <c r="EY24" s="40" t="str">
        <f t="shared" si="83"/>
        <v>-</v>
      </c>
      <c r="EZ24" s="40" t="str">
        <f t="shared" si="84"/>
        <v>-</v>
      </c>
      <c r="FA24" s="40" t="str">
        <f t="shared" si="84"/>
        <v>-</v>
      </c>
      <c r="FB24" s="40" t="str">
        <f t="shared" si="84"/>
        <v>-</v>
      </c>
      <c r="FC24" s="32"/>
      <c r="FD24" s="39" t="str">
        <f t="shared" si="85"/>
        <v>-</v>
      </c>
      <c r="FE24" s="40" t="str">
        <f t="shared" si="85"/>
        <v>-</v>
      </c>
      <c r="FF24" s="40" t="str">
        <f t="shared" si="86"/>
        <v>-</v>
      </c>
      <c r="FG24" s="40" t="str">
        <f t="shared" si="86"/>
        <v>-</v>
      </c>
      <c r="FH24" s="40" t="str">
        <f t="shared" si="86"/>
        <v>-</v>
      </c>
      <c r="FI24" s="32"/>
      <c r="FJ24" s="39" t="str">
        <f t="shared" si="87"/>
        <v>-</v>
      </c>
      <c r="FK24" s="39" t="str">
        <f t="shared" si="87"/>
        <v>-</v>
      </c>
      <c r="FL24" s="39" t="str">
        <f t="shared" si="88"/>
        <v>-</v>
      </c>
      <c r="FM24" s="39" t="str">
        <f t="shared" si="88"/>
        <v>-</v>
      </c>
      <c r="FN24" s="39" t="str">
        <f t="shared" si="88"/>
        <v>-</v>
      </c>
      <c r="FP24" s="66"/>
      <c r="FQ24" s="66"/>
      <c r="FR24" s="67"/>
      <c r="FS24" s="67"/>
      <c r="FT24" s="42">
        <f t="shared" si="62"/>
        <v>0</v>
      </c>
      <c r="FV24" s="43" t="str">
        <f t="shared" si="39"/>
        <v>-</v>
      </c>
      <c r="FW24" s="43" t="str">
        <f t="shared" si="40"/>
        <v>-</v>
      </c>
      <c r="FX24" s="43" t="str">
        <f t="shared" si="41"/>
        <v>-</v>
      </c>
      <c r="FY24" s="43" t="str">
        <f t="shared" si="42"/>
        <v>-</v>
      </c>
      <c r="FZ24" s="43" t="str">
        <f t="shared" si="43"/>
        <v>-</v>
      </c>
      <c r="GB24" s="66"/>
      <c r="GC24" s="66"/>
      <c r="GD24" s="67"/>
      <c r="GE24" s="67"/>
      <c r="GF24" s="28" t="str">
        <f t="shared" ref="GF24" si="89">IF(SUM(GB24:GE24)=0,"-",SUM(GB24:GE24))</f>
        <v>-</v>
      </c>
      <c r="GH24" s="43" t="str">
        <f t="shared" si="45"/>
        <v>-</v>
      </c>
      <c r="GI24" s="43" t="str">
        <f t="shared" si="46"/>
        <v>-</v>
      </c>
      <c r="GJ24" s="43" t="str">
        <f t="shared" si="47"/>
        <v>-</v>
      </c>
      <c r="GK24" s="43" t="str">
        <f t="shared" si="48"/>
        <v>-</v>
      </c>
      <c r="GL24" s="43" t="str">
        <f t="shared" si="49"/>
        <v>-</v>
      </c>
      <c r="GN24" s="42">
        <f t="shared" si="54"/>
        <v>0</v>
      </c>
      <c r="GO24">
        <f t="shared" si="55"/>
        <v>0</v>
      </c>
    </row>
    <row r="25" spans="1:197" x14ac:dyDescent="0.25">
      <c r="A25" s="29" t="s">
        <v>249</v>
      </c>
    </row>
    <row r="26" spans="1:197" x14ac:dyDescent="0.25">
      <c r="A26" s="29" t="s">
        <v>250</v>
      </c>
    </row>
  </sheetData>
  <mergeCells count="3">
    <mergeCell ref="GN4:GN5"/>
    <mergeCell ref="GO4:GO5"/>
    <mergeCell ref="BS5:BZ5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2Q20</vt:lpstr>
    </vt:vector>
  </TitlesOfParts>
  <Company>Deloitte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jhkang</dc:creator>
  <cp:lastModifiedBy>jhkang</cp:lastModifiedBy>
  <dcterms:created xsi:type="dcterms:W3CDTF">2021-03-13T11:27:54Z</dcterms:created>
  <dcterms:modified xsi:type="dcterms:W3CDTF">2021-03-13T12:56:03Z</dcterms:modified>
</cp:coreProperties>
</file>