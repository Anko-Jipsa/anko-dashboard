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hkang\Documents\cra_flask\dataset\UK\"/>
    </mc:Choice>
  </mc:AlternateContent>
  <xr:revisionPtr revIDLastSave="0" documentId="13_ncr:1_{FA895968-D9B3-489D-AFF9-662E026F4E0B}" xr6:coauthVersionLast="45" xr6:coauthVersionMax="45" xr10:uidLastSave="{00000000-0000-0000-0000-000000000000}"/>
  <bookViews>
    <workbookView xWindow="4200" yWindow="1365" windowWidth="12150" windowHeight="15495" xr2:uid="{8CAD407B-3609-4EFD-873E-85A7A9A180E1}"/>
  </bookViews>
  <sheets>
    <sheet name="4Q19" sheetId="1" r:id="rId1"/>
  </sheets>
  <externalReferences>
    <externalReference r:id="rId2"/>
    <externalReference r:id="rId3"/>
  </externalReferences>
  <definedNames>
    <definedName name="LTVWtg">[1]Inputs!$K$25:$M$31</definedName>
    <definedName name="PurchaseOC">[2]Assumptions!$H$12</definedName>
    <definedName name="RemortgageOC">[2]Assumptions!$H$14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M23" i="1" l="1"/>
  <c r="FL23" i="1"/>
  <c r="FK23" i="1"/>
  <c r="FJ23" i="1"/>
  <c r="FG23" i="1"/>
  <c r="FF23" i="1"/>
  <c r="FE23" i="1"/>
  <c r="FD23" i="1"/>
  <c r="FA23" i="1"/>
  <c r="EZ23" i="1"/>
  <c r="EY23" i="1"/>
  <c r="EX23" i="1"/>
  <c r="EU23" i="1"/>
  <c r="ET23" i="1"/>
  <c r="ES23" i="1"/>
  <c r="ER23" i="1"/>
  <c r="EI23" i="1"/>
  <c r="EH23" i="1"/>
  <c r="EG23" i="1"/>
  <c r="EF23" i="1"/>
  <c r="DE23" i="1"/>
  <c r="CW23" i="1"/>
  <c r="CO23" i="1"/>
  <c r="CG23" i="1"/>
  <c r="BY23" i="1"/>
  <c r="BP23" i="1"/>
  <c r="BO23" i="1"/>
  <c r="BN23" i="1"/>
  <c r="BM23" i="1"/>
  <c r="BJ23" i="1"/>
  <c r="BI23" i="1"/>
  <c r="BH23" i="1"/>
  <c r="BG23" i="1"/>
  <c r="BE23" i="1"/>
  <c r="AW23" i="1"/>
  <c r="FY23" i="1" s="1"/>
  <c r="AO23" i="1"/>
  <c r="DX23" i="1" s="1"/>
  <c r="AG23" i="1"/>
  <c r="FW23" i="1" s="1"/>
  <c r="Y23" i="1"/>
  <c r="DM23" i="1" s="1"/>
  <c r="P23" i="1"/>
  <c r="O23" i="1"/>
  <c r="N23" i="1"/>
  <c r="M23" i="1"/>
  <c r="L23" i="1"/>
  <c r="K23" i="1"/>
  <c r="H23" i="1"/>
  <c r="G23" i="1"/>
  <c r="F23" i="1"/>
  <c r="E23" i="1"/>
  <c r="D23" i="1"/>
  <c r="C23" i="1"/>
  <c r="FM22" i="1"/>
  <c r="FL22" i="1"/>
  <c r="FK22" i="1"/>
  <c r="FJ22" i="1"/>
  <c r="FG22" i="1"/>
  <c r="FF22" i="1"/>
  <c r="FE22" i="1"/>
  <c r="FD22" i="1"/>
  <c r="FA22" i="1"/>
  <c r="EZ22" i="1"/>
  <c r="EY22" i="1"/>
  <c r="EX22" i="1"/>
  <c r="EU22" i="1"/>
  <c r="ET22" i="1"/>
  <c r="ES22" i="1"/>
  <c r="ER22" i="1"/>
  <c r="EI22" i="1"/>
  <c r="EH22" i="1"/>
  <c r="EG22" i="1"/>
  <c r="EF22" i="1"/>
  <c r="EB22" i="1"/>
  <c r="DE22" i="1"/>
  <c r="CW22" i="1"/>
  <c r="CO22" i="1"/>
  <c r="CG22" i="1"/>
  <c r="BY22" i="1"/>
  <c r="BP22" i="1"/>
  <c r="BO22" i="1"/>
  <c r="BN22" i="1"/>
  <c r="EM22" i="1" s="1"/>
  <c r="BM22" i="1"/>
  <c r="BJ22" i="1"/>
  <c r="BI22" i="1"/>
  <c r="BH22" i="1"/>
  <c r="BG22" i="1"/>
  <c r="BE22" i="1"/>
  <c r="AW22" i="1"/>
  <c r="FY22" i="1" s="1"/>
  <c r="AO22" i="1"/>
  <c r="DX22" i="1" s="1"/>
  <c r="AG22" i="1"/>
  <c r="DR22" i="1" s="1"/>
  <c r="Y22" i="1"/>
  <c r="DL22" i="1" s="1"/>
  <c r="P22" i="1"/>
  <c r="O22" i="1"/>
  <c r="N22" i="1"/>
  <c r="M22" i="1"/>
  <c r="L22" i="1"/>
  <c r="K22" i="1"/>
  <c r="EL22" i="1" s="1"/>
  <c r="H22" i="1"/>
  <c r="G22" i="1"/>
  <c r="F22" i="1"/>
  <c r="E22" i="1"/>
  <c r="D22" i="1"/>
  <c r="C22" i="1"/>
  <c r="GO22" i="1" s="1"/>
  <c r="GF21" i="1"/>
  <c r="FM21" i="1"/>
  <c r="FL21" i="1"/>
  <c r="FK21" i="1"/>
  <c r="FJ21" i="1"/>
  <c r="FG21" i="1"/>
  <c r="FF21" i="1"/>
  <c r="FE21" i="1"/>
  <c r="FA21" i="1"/>
  <c r="EZ21" i="1"/>
  <c r="EY21" i="1"/>
  <c r="EX21" i="1"/>
  <c r="EU21" i="1"/>
  <c r="ET21" i="1"/>
  <c r="ES21" i="1"/>
  <c r="ER21" i="1"/>
  <c r="EI21" i="1"/>
  <c r="EH21" i="1"/>
  <c r="EG21" i="1"/>
  <c r="DE21" i="1"/>
  <c r="CW21" i="1"/>
  <c r="CI21" i="1"/>
  <c r="BG21" i="1" s="1"/>
  <c r="CG21" i="1"/>
  <c r="BY21" i="1"/>
  <c r="BP21" i="1"/>
  <c r="BO21" i="1"/>
  <c r="BN21" i="1"/>
  <c r="BJ21" i="1"/>
  <c r="BI21" i="1"/>
  <c r="BH21" i="1"/>
  <c r="BE21" i="1"/>
  <c r="AW21" i="1"/>
  <c r="EA21" i="1" s="1"/>
  <c r="AI21" i="1"/>
  <c r="AO21" i="1" s="1"/>
  <c r="AG21" i="1"/>
  <c r="FW21" i="1" s="1"/>
  <c r="Y21" i="1"/>
  <c r="GH21" i="1" s="1"/>
  <c r="V21" i="1"/>
  <c r="F21" i="1" s="1"/>
  <c r="P21" i="1"/>
  <c r="O21" i="1"/>
  <c r="M21" i="1"/>
  <c r="L21" i="1"/>
  <c r="K21" i="1"/>
  <c r="H21" i="1"/>
  <c r="G21" i="1"/>
  <c r="E21" i="1"/>
  <c r="D21" i="1"/>
  <c r="GF20" i="1"/>
  <c r="FM20" i="1"/>
  <c r="FL20" i="1"/>
  <c r="FK20" i="1"/>
  <c r="FJ20" i="1"/>
  <c r="FG20" i="1"/>
  <c r="FF20" i="1"/>
  <c r="FE20" i="1"/>
  <c r="FD20" i="1"/>
  <c r="FA20" i="1"/>
  <c r="EZ20" i="1"/>
  <c r="EY20" i="1"/>
  <c r="EX20" i="1"/>
  <c r="EU20" i="1"/>
  <c r="ET20" i="1"/>
  <c r="ER20" i="1"/>
  <c r="EI20" i="1"/>
  <c r="EH20" i="1"/>
  <c r="EG20" i="1"/>
  <c r="DY20" i="1"/>
  <c r="DX20" i="1"/>
  <c r="DE20" i="1"/>
  <c r="CW20" i="1"/>
  <c r="CO20" i="1"/>
  <c r="CG20" i="1"/>
  <c r="BY20" i="1"/>
  <c r="BP20" i="1"/>
  <c r="EO20" i="1" s="1"/>
  <c r="BO20" i="1"/>
  <c r="BN20" i="1"/>
  <c r="BM20" i="1"/>
  <c r="BJ20" i="1"/>
  <c r="BI20" i="1"/>
  <c r="BH20" i="1"/>
  <c r="BG20" i="1"/>
  <c r="BE20" i="1"/>
  <c r="AW20" i="1"/>
  <c r="FY20" i="1" s="1"/>
  <c r="AO20" i="1"/>
  <c r="DW20" i="1" s="1"/>
  <c r="AG20" i="1"/>
  <c r="FW20" i="1" s="1"/>
  <c r="T20" i="1"/>
  <c r="L20" i="1" s="1"/>
  <c r="P20" i="1"/>
  <c r="O20" i="1"/>
  <c r="N20" i="1"/>
  <c r="M20" i="1"/>
  <c r="K20" i="1"/>
  <c r="H20" i="1"/>
  <c r="G20" i="1"/>
  <c r="F20" i="1"/>
  <c r="E20" i="1"/>
  <c r="C20" i="1"/>
  <c r="GF19" i="1"/>
  <c r="FM19" i="1"/>
  <c r="FL19" i="1"/>
  <c r="FK19" i="1"/>
  <c r="FJ19" i="1"/>
  <c r="FG19" i="1"/>
  <c r="FF19" i="1"/>
  <c r="FE19" i="1"/>
  <c r="FD19" i="1"/>
  <c r="FA19" i="1"/>
  <c r="EZ19" i="1"/>
  <c r="EY19" i="1"/>
  <c r="EX19" i="1"/>
  <c r="EU19" i="1"/>
  <c r="ET19" i="1"/>
  <c r="ES19" i="1"/>
  <c r="ER19" i="1"/>
  <c r="EI19" i="1"/>
  <c r="EF19" i="1"/>
  <c r="DS19" i="1"/>
  <c r="DE19" i="1"/>
  <c r="CW19" i="1"/>
  <c r="CO19" i="1"/>
  <c r="CG19" i="1"/>
  <c r="BY19" i="1"/>
  <c r="BP19" i="1"/>
  <c r="BO19" i="1"/>
  <c r="EN19" i="1" s="1"/>
  <c r="BN19" i="1"/>
  <c r="BM19" i="1"/>
  <c r="BJ19" i="1"/>
  <c r="BI19" i="1"/>
  <c r="BH19" i="1"/>
  <c r="BG19" i="1"/>
  <c r="BE19" i="1"/>
  <c r="AW19" i="1"/>
  <c r="EA19" i="1" s="1"/>
  <c r="AO19" i="1"/>
  <c r="DY19" i="1" s="1"/>
  <c r="AL19" i="1"/>
  <c r="EH19" i="1" s="1"/>
  <c r="AG19" i="1"/>
  <c r="DQ19" i="1" s="1"/>
  <c r="AD19" i="1"/>
  <c r="Y19" i="1"/>
  <c r="GH19" i="1" s="1"/>
  <c r="P19" i="1"/>
  <c r="O19" i="1"/>
  <c r="M19" i="1"/>
  <c r="L19" i="1"/>
  <c r="EM19" i="1" s="1"/>
  <c r="K19" i="1"/>
  <c r="H19" i="1"/>
  <c r="G19" i="1"/>
  <c r="E19" i="1"/>
  <c r="D19" i="1"/>
  <c r="C19" i="1"/>
  <c r="FM18" i="1"/>
  <c r="FL18" i="1"/>
  <c r="FK18" i="1"/>
  <c r="FJ18" i="1"/>
  <c r="FG18" i="1"/>
  <c r="FF18" i="1"/>
  <c r="FE18" i="1"/>
  <c r="FD18" i="1"/>
  <c r="EU18" i="1"/>
  <c r="ET18" i="1"/>
  <c r="ES18" i="1"/>
  <c r="EI18" i="1"/>
  <c r="EH18" i="1"/>
  <c r="EF18" i="1"/>
  <c r="DW18" i="1"/>
  <c r="DE18" i="1"/>
  <c r="CW18" i="1"/>
  <c r="CO18" i="1"/>
  <c r="CF18" i="1"/>
  <c r="BP18" i="1" s="1"/>
  <c r="CE18" i="1"/>
  <c r="BI18" i="1" s="1"/>
  <c r="CB18" i="1"/>
  <c r="BN18" i="1" s="1"/>
  <c r="BS18" i="1"/>
  <c r="AY18" i="1"/>
  <c r="BE18" i="1" s="1"/>
  <c r="AW18" i="1"/>
  <c r="ED18" i="1" s="1"/>
  <c r="AO18" i="1"/>
  <c r="GJ18" i="1" s="1"/>
  <c r="AF18" i="1"/>
  <c r="AE18" i="1"/>
  <c r="AB18" i="1"/>
  <c r="AA18" i="1"/>
  <c r="Y18" i="1"/>
  <c r="FV18" i="1" s="1"/>
  <c r="N18" i="1"/>
  <c r="M18" i="1"/>
  <c r="F18" i="1"/>
  <c r="E18" i="1"/>
  <c r="GF17" i="1"/>
  <c r="FM17" i="1"/>
  <c r="FL17" i="1"/>
  <c r="FK17" i="1"/>
  <c r="FJ17" i="1"/>
  <c r="FG17" i="1"/>
  <c r="FA17" i="1"/>
  <c r="EZ17" i="1"/>
  <c r="EY17" i="1"/>
  <c r="EX17" i="1"/>
  <c r="EU17" i="1"/>
  <c r="ET17" i="1"/>
  <c r="ES17" i="1"/>
  <c r="ER17" i="1"/>
  <c r="EI17" i="1"/>
  <c r="EG17" i="1"/>
  <c r="EF17" i="1"/>
  <c r="DQ17" i="1"/>
  <c r="DE17" i="1"/>
  <c r="CW17" i="1"/>
  <c r="CM17" i="1"/>
  <c r="CJ17" i="1"/>
  <c r="CG17" i="1"/>
  <c r="BY17" i="1"/>
  <c r="EV17" i="1" s="1"/>
  <c r="BP17" i="1"/>
  <c r="EO17" i="1" s="1"/>
  <c r="BO17" i="1"/>
  <c r="BM17" i="1"/>
  <c r="BJ17" i="1"/>
  <c r="BI17" i="1"/>
  <c r="BH17" i="1"/>
  <c r="BG17" i="1"/>
  <c r="AY17" i="1"/>
  <c r="BE17" i="1" s="1"/>
  <c r="AW17" i="1"/>
  <c r="FY17" i="1" s="1"/>
  <c r="AM17" i="1"/>
  <c r="FF17" i="1" s="1"/>
  <c r="AJ17" i="1"/>
  <c r="EH17" i="1" s="1"/>
  <c r="AI17" i="1"/>
  <c r="FD17" i="1" s="1"/>
  <c r="AG17" i="1"/>
  <c r="GI17" i="1" s="1"/>
  <c r="Y17" i="1"/>
  <c r="DO17" i="1" s="1"/>
  <c r="P17" i="1"/>
  <c r="N17" i="1"/>
  <c r="M17" i="1"/>
  <c r="H17" i="1"/>
  <c r="F17" i="1"/>
  <c r="E17" i="1"/>
  <c r="GF16" i="1"/>
  <c r="FT16" i="1"/>
  <c r="FM16" i="1"/>
  <c r="FL16" i="1"/>
  <c r="FK16" i="1"/>
  <c r="FJ16" i="1"/>
  <c r="FG16" i="1"/>
  <c r="FF16" i="1"/>
  <c r="FE16" i="1"/>
  <c r="FD16" i="1"/>
  <c r="FA16" i="1"/>
  <c r="EZ16" i="1"/>
  <c r="EY16" i="1"/>
  <c r="EX16" i="1"/>
  <c r="EU16" i="1"/>
  <c r="ET16" i="1"/>
  <c r="ES16" i="1"/>
  <c r="ER16" i="1"/>
  <c r="EN16" i="1"/>
  <c r="EI16" i="1"/>
  <c r="EH16" i="1"/>
  <c r="EG16" i="1"/>
  <c r="EF16" i="1"/>
  <c r="EC16" i="1"/>
  <c r="DY16" i="1"/>
  <c r="DX16" i="1"/>
  <c r="DE16" i="1"/>
  <c r="CW16" i="1"/>
  <c r="CO16" i="1"/>
  <c r="CG16" i="1"/>
  <c r="BY16" i="1"/>
  <c r="BP16" i="1"/>
  <c r="BO16" i="1"/>
  <c r="BN16" i="1"/>
  <c r="EM16" i="1" s="1"/>
  <c r="BM16" i="1"/>
  <c r="BJ16" i="1"/>
  <c r="BI16" i="1"/>
  <c r="BH16" i="1"/>
  <c r="BG16" i="1"/>
  <c r="BE16" i="1"/>
  <c r="AW16" i="1"/>
  <c r="EA16" i="1" s="1"/>
  <c r="AO16" i="1"/>
  <c r="FX16" i="1" s="1"/>
  <c r="AG16" i="1"/>
  <c r="DQ16" i="1" s="1"/>
  <c r="Y16" i="1"/>
  <c r="DO16" i="1" s="1"/>
  <c r="P16" i="1"/>
  <c r="O16" i="1"/>
  <c r="N16" i="1"/>
  <c r="M16" i="1"/>
  <c r="L16" i="1"/>
  <c r="K16" i="1"/>
  <c r="H16" i="1"/>
  <c r="F16" i="1"/>
  <c r="E16" i="1"/>
  <c r="D16" i="1"/>
  <c r="C16" i="1"/>
  <c r="FM15" i="1"/>
  <c r="FL15" i="1"/>
  <c r="FK15" i="1"/>
  <c r="FJ15" i="1"/>
  <c r="FG15" i="1"/>
  <c r="FF15" i="1"/>
  <c r="FE15" i="1"/>
  <c r="FD15" i="1"/>
  <c r="FA15" i="1"/>
  <c r="EZ15" i="1"/>
  <c r="EY15" i="1"/>
  <c r="EX15" i="1"/>
  <c r="EU15" i="1"/>
  <c r="ET15" i="1"/>
  <c r="ES15" i="1"/>
  <c r="ER15" i="1"/>
  <c r="EI15" i="1"/>
  <c r="EH15" i="1"/>
  <c r="EG15" i="1"/>
  <c r="EF15" i="1"/>
  <c r="ED15" i="1"/>
  <c r="DE15" i="1"/>
  <c r="CW15" i="1"/>
  <c r="CO15" i="1"/>
  <c r="CK15" i="1"/>
  <c r="CG15" i="1"/>
  <c r="CC15" i="1"/>
  <c r="BY15" i="1"/>
  <c r="BU15" i="1"/>
  <c r="BP15" i="1"/>
  <c r="BO15" i="1"/>
  <c r="BN15" i="1"/>
  <c r="BM15" i="1"/>
  <c r="BJ15" i="1"/>
  <c r="BI15" i="1"/>
  <c r="BH15" i="1"/>
  <c r="BG15" i="1"/>
  <c r="BE15" i="1"/>
  <c r="AW15" i="1"/>
  <c r="EA15" i="1" s="1"/>
  <c r="AO15" i="1"/>
  <c r="AK15" i="1"/>
  <c r="AG15" i="1"/>
  <c r="FW15" i="1" s="1"/>
  <c r="AC15" i="1"/>
  <c r="Y15" i="1"/>
  <c r="GH15" i="1" s="1"/>
  <c r="U15" i="1"/>
  <c r="P15" i="1"/>
  <c r="EO15" i="1" s="1"/>
  <c r="O15" i="1"/>
  <c r="N15" i="1"/>
  <c r="L15" i="1"/>
  <c r="K15" i="1"/>
  <c r="H15" i="1"/>
  <c r="G15" i="1"/>
  <c r="F15" i="1"/>
  <c r="D15" i="1"/>
  <c r="C15" i="1"/>
  <c r="FM14" i="1"/>
  <c r="FL14" i="1"/>
  <c r="FK14" i="1"/>
  <c r="FJ14" i="1"/>
  <c r="FG14" i="1"/>
  <c r="FF14" i="1"/>
  <c r="FE14" i="1"/>
  <c r="FD14" i="1"/>
  <c r="FA14" i="1"/>
  <c r="EZ14" i="1"/>
  <c r="EY14" i="1"/>
  <c r="EX14" i="1"/>
  <c r="EU14" i="1"/>
  <c r="ET14" i="1"/>
  <c r="ER14" i="1"/>
  <c r="EI14" i="1"/>
  <c r="EH14" i="1"/>
  <c r="EG14" i="1"/>
  <c r="DY14" i="1"/>
  <c r="DX14" i="1"/>
  <c r="DE14" i="1"/>
  <c r="CW14" i="1"/>
  <c r="CO14" i="1"/>
  <c r="CG14" i="1"/>
  <c r="BT14" i="1"/>
  <c r="BP14" i="1"/>
  <c r="BO14" i="1"/>
  <c r="EN14" i="1" s="1"/>
  <c r="BM14" i="1"/>
  <c r="BJ14" i="1"/>
  <c r="BI14" i="1"/>
  <c r="BG14" i="1"/>
  <c r="BE14" i="1"/>
  <c r="AW14" i="1"/>
  <c r="FY14" i="1" s="1"/>
  <c r="AO14" i="1"/>
  <c r="DW14" i="1" s="1"/>
  <c r="AG14" i="1"/>
  <c r="FB14" i="1" s="1"/>
  <c r="T14" i="1"/>
  <c r="Y14" i="1" s="1"/>
  <c r="P14" i="1"/>
  <c r="O14" i="1"/>
  <c r="N14" i="1"/>
  <c r="M14" i="1"/>
  <c r="K14" i="1"/>
  <c r="H14" i="1"/>
  <c r="G14" i="1"/>
  <c r="F14" i="1"/>
  <c r="E14" i="1"/>
  <c r="C14" i="1"/>
  <c r="FM13" i="1"/>
  <c r="FJ13" i="1"/>
  <c r="FG13" i="1"/>
  <c r="FF13" i="1"/>
  <c r="FE13" i="1"/>
  <c r="FD13" i="1"/>
  <c r="FA13" i="1"/>
  <c r="EZ13" i="1"/>
  <c r="EY13" i="1"/>
  <c r="EX13" i="1"/>
  <c r="EU13" i="1"/>
  <c r="ET13" i="1"/>
  <c r="ER13" i="1"/>
  <c r="EH13" i="1"/>
  <c r="EG13" i="1"/>
  <c r="DY13" i="1"/>
  <c r="DX13" i="1"/>
  <c r="DV13" i="1"/>
  <c r="DE13" i="1"/>
  <c r="CR13" i="1"/>
  <c r="CO13" i="1"/>
  <c r="FH13" i="1" s="1"/>
  <c r="CG13" i="1"/>
  <c r="BY13" i="1"/>
  <c r="BP13" i="1"/>
  <c r="BO13" i="1"/>
  <c r="BM13" i="1"/>
  <c r="BJ13" i="1"/>
  <c r="BI13" i="1"/>
  <c r="BG13" i="1"/>
  <c r="BE13" i="1"/>
  <c r="AU13" i="1"/>
  <c r="O13" i="1" s="1"/>
  <c r="EN13" i="1" s="1"/>
  <c r="AR13" i="1"/>
  <c r="EI13" i="1" s="1"/>
  <c r="AO13" i="1"/>
  <c r="GJ13" i="1" s="1"/>
  <c r="AG13" i="1"/>
  <c r="DR13" i="1" s="1"/>
  <c r="T13" i="1"/>
  <c r="P13" i="1"/>
  <c r="N13" i="1"/>
  <c r="M13" i="1"/>
  <c r="K13" i="1"/>
  <c r="H13" i="1"/>
  <c r="F13" i="1"/>
  <c r="E13" i="1"/>
  <c r="C13" i="1"/>
  <c r="GD12" i="1"/>
  <c r="GC12" i="1"/>
  <c r="FS12" i="1"/>
  <c r="FR12" i="1"/>
  <c r="FQ12" i="1"/>
  <c r="FM12" i="1"/>
  <c r="FL12" i="1"/>
  <c r="FG12" i="1"/>
  <c r="FA12" i="1"/>
  <c r="EU12" i="1"/>
  <c r="ET12" i="1"/>
  <c r="ES12" i="1"/>
  <c r="ER12" i="1"/>
  <c r="EF12" i="1"/>
  <c r="DE12" i="1"/>
  <c r="CQ12" i="1"/>
  <c r="CW12" i="1" s="1"/>
  <c r="CM12" i="1"/>
  <c r="FF12" i="1" s="1"/>
  <c r="CJ12" i="1"/>
  <c r="CI12" i="1"/>
  <c r="CE12" i="1"/>
  <c r="CB12" i="1"/>
  <c r="CA12" i="1"/>
  <c r="BY12" i="1"/>
  <c r="BP12" i="1"/>
  <c r="BJ12" i="1"/>
  <c r="BE12" i="1"/>
  <c r="AR12" i="1"/>
  <c r="AQ12" i="1"/>
  <c r="AM12" i="1"/>
  <c r="AJ12" i="1"/>
  <c r="EH12" i="1" s="1"/>
  <c r="AI12" i="1"/>
  <c r="AE12" i="1"/>
  <c r="AB12" i="1"/>
  <c r="D12" i="1" s="1"/>
  <c r="AA12" i="1"/>
  <c r="Y12" i="1"/>
  <c r="GH12" i="1" s="1"/>
  <c r="P12" i="1"/>
  <c r="N12" i="1"/>
  <c r="M12" i="1"/>
  <c r="H12" i="1"/>
  <c r="F12" i="1"/>
  <c r="E12" i="1"/>
  <c r="FM11" i="1"/>
  <c r="FL11" i="1"/>
  <c r="FK11" i="1"/>
  <c r="FJ11" i="1"/>
  <c r="FG11" i="1"/>
  <c r="FA11" i="1"/>
  <c r="EY11" i="1"/>
  <c r="EX11" i="1"/>
  <c r="EU11" i="1"/>
  <c r="ET11" i="1"/>
  <c r="ES11" i="1"/>
  <c r="ER11" i="1"/>
  <c r="EI11" i="1"/>
  <c r="EG11" i="1"/>
  <c r="EF11" i="1"/>
  <c r="DE11" i="1"/>
  <c r="CW11" i="1"/>
  <c r="CO11" i="1"/>
  <c r="CG11" i="1"/>
  <c r="BY11" i="1"/>
  <c r="BV11" i="1"/>
  <c r="BP11" i="1"/>
  <c r="BO11" i="1"/>
  <c r="BN11" i="1"/>
  <c r="BM11" i="1"/>
  <c r="BJ11" i="1"/>
  <c r="BI11" i="1"/>
  <c r="BH11" i="1"/>
  <c r="BG11" i="1"/>
  <c r="GN11" i="1" s="1"/>
  <c r="BE11" i="1"/>
  <c r="AW11" i="1"/>
  <c r="GK11" i="1" s="1"/>
  <c r="AM11" i="1"/>
  <c r="FF11" i="1" s="1"/>
  <c r="AJ11" i="1"/>
  <c r="FE11" i="1" s="1"/>
  <c r="AI11" i="1"/>
  <c r="AE11" i="1"/>
  <c r="AG11" i="1" s="1"/>
  <c r="Y11" i="1"/>
  <c r="GH11" i="1" s="1"/>
  <c r="U11" i="1"/>
  <c r="E11" i="1" s="1"/>
  <c r="P11" i="1"/>
  <c r="N11" i="1"/>
  <c r="H11" i="1"/>
  <c r="F11" i="1"/>
  <c r="GD10" i="1"/>
  <c r="GC10" i="1"/>
  <c r="FR10" i="1"/>
  <c r="FQ10" i="1"/>
  <c r="FM10" i="1"/>
  <c r="FL10" i="1"/>
  <c r="FK10" i="1"/>
  <c r="FJ10" i="1"/>
  <c r="FG10" i="1"/>
  <c r="FA10" i="1"/>
  <c r="EU10" i="1"/>
  <c r="ET10" i="1"/>
  <c r="EI10" i="1"/>
  <c r="EF10" i="1"/>
  <c r="DE10" i="1"/>
  <c r="CW10" i="1"/>
  <c r="CM10" i="1"/>
  <c r="CJ10" i="1"/>
  <c r="CI10" i="1"/>
  <c r="FD10" i="1" s="1"/>
  <c r="CE10" i="1"/>
  <c r="BO10" i="1" s="1"/>
  <c r="BT10" i="1"/>
  <c r="BS10" i="1"/>
  <c r="BP10" i="1"/>
  <c r="BJ10" i="1"/>
  <c r="AW10" i="1"/>
  <c r="ED10" i="1" s="1"/>
  <c r="AJ10" i="1"/>
  <c r="EH10" i="1" s="1"/>
  <c r="AI10" i="1"/>
  <c r="AE10" i="1"/>
  <c r="AB10" i="1"/>
  <c r="AA10" i="1"/>
  <c r="Y10" i="1"/>
  <c r="DN10" i="1" s="1"/>
  <c r="P10" i="1"/>
  <c r="N10" i="1"/>
  <c r="M10" i="1"/>
  <c r="H10" i="1"/>
  <c r="F10" i="1"/>
  <c r="E10" i="1"/>
  <c r="GF9" i="1"/>
  <c r="FS9" i="1"/>
  <c r="FQ9" i="1"/>
  <c r="FM9" i="1"/>
  <c r="FL9" i="1"/>
  <c r="FK9" i="1"/>
  <c r="FJ9" i="1"/>
  <c r="FG9" i="1"/>
  <c r="FF9" i="1"/>
  <c r="FE9" i="1"/>
  <c r="FD9" i="1"/>
  <c r="FA9" i="1"/>
  <c r="EU9" i="1"/>
  <c r="ET9" i="1"/>
  <c r="ES9" i="1"/>
  <c r="ER9" i="1"/>
  <c r="EI9" i="1"/>
  <c r="EH9" i="1"/>
  <c r="EG9" i="1"/>
  <c r="EF9" i="1"/>
  <c r="DE9" i="1"/>
  <c r="CW9" i="1"/>
  <c r="FN9" i="1" s="1"/>
  <c r="CO9" i="1"/>
  <c r="FH9" i="1" s="1"/>
  <c r="CK9" i="1"/>
  <c r="CE9" i="1"/>
  <c r="BI9" i="1" s="1"/>
  <c r="CB9" i="1"/>
  <c r="CA9" i="1"/>
  <c r="EX9" i="1" s="1"/>
  <c r="BY9" i="1"/>
  <c r="BU9" i="1"/>
  <c r="BP9" i="1"/>
  <c r="EO9" i="1" s="1"/>
  <c r="BJ9" i="1"/>
  <c r="BH9" i="1"/>
  <c r="BG9" i="1"/>
  <c r="BE9" i="1"/>
  <c r="AW9" i="1"/>
  <c r="EA9" i="1" s="1"/>
  <c r="AO9" i="1"/>
  <c r="FX9" i="1" s="1"/>
  <c r="AK9" i="1"/>
  <c r="AG9" i="1"/>
  <c r="DT9" i="1" s="1"/>
  <c r="AC9" i="1"/>
  <c r="Y9" i="1"/>
  <c r="GH9" i="1" s="1"/>
  <c r="U9" i="1"/>
  <c r="P9" i="1"/>
  <c r="O9" i="1"/>
  <c r="N9" i="1"/>
  <c r="L9" i="1"/>
  <c r="K9" i="1"/>
  <c r="H9" i="1"/>
  <c r="G9" i="1"/>
  <c r="F9" i="1"/>
  <c r="D9" i="1"/>
  <c r="C9" i="1"/>
  <c r="FS8" i="1"/>
  <c r="FQ8" i="1"/>
  <c r="FM8" i="1"/>
  <c r="FG8" i="1"/>
  <c r="FF8" i="1"/>
  <c r="FE8" i="1"/>
  <c r="FD8" i="1"/>
  <c r="FA8" i="1"/>
  <c r="EU8" i="1"/>
  <c r="ET8" i="1"/>
  <c r="ES8" i="1"/>
  <c r="ER8" i="1"/>
  <c r="EH8" i="1"/>
  <c r="EF8" i="1"/>
  <c r="DE8" i="1"/>
  <c r="CU8" i="1"/>
  <c r="CR8" i="1"/>
  <c r="CQ8" i="1"/>
  <c r="CO8" i="1"/>
  <c r="CK8" i="1"/>
  <c r="CE8" i="1"/>
  <c r="BO8" i="1" s="1"/>
  <c r="CD8" i="1"/>
  <c r="CB8" i="1"/>
  <c r="CA8" i="1"/>
  <c r="BY8" i="1"/>
  <c r="BU8" i="1"/>
  <c r="BP8" i="1"/>
  <c r="BJ8" i="1"/>
  <c r="AY8" i="1"/>
  <c r="BE8" i="1" s="1"/>
  <c r="AU8" i="1"/>
  <c r="AT8" i="1"/>
  <c r="AR8" i="1"/>
  <c r="AQ8" i="1"/>
  <c r="AO8" i="1"/>
  <c r="DX8" i="1" s="1"/>
  <c r="AK8" i="1"/>
  <c r="AE8" i="1"/>
  <c r="AD8" i="1"/>
  <c r="AB8" i="1"/>
  <c r="AA8" i="1"/>
  <c r="Y8" i="1"/>
  <c r="DN8" i="1" s="1"/>
  <c r="U8" i="1"/>
  <c r="P8" i="1"/>
  <c r="H8" i="1"/>
  <c r="G8" i="1"/>
  <c r="GF7" i="1"/>
  <c r="FM7" i="1"/>
  <c r="FG7" i="1"/>
  <c r="FA7" i="1"/>
  <c r="EZ7" i="1"/>
  <c r="EY7" i="1"/>
  <c r="EU7" i="1"/>
  <c r="ET7" i="1"/>
  <c r="ES7" i="1"/>
  <c r="ER7" i="1"/>
  <c r="EH7" i="1"/>
  <c r="EG7" i="1"/>
  <c r="EF7" i="1"/>
  <c r="DQ7" i="1"/>
  <c r="DE7" i="1"/>
  <c r="CS7" i="1"/>
  <c r="CQ7" i="1"/>
  <c r="CW7" i="1" s="1"/>
  <c r="CM7" i="1"/>
  <c r="FF7" i="1" s="1"/>
  <c r="CJ7" i="1"/>
  <c r="BN7" i="1" s="1"/>
  <c r="CI7" i="1"/>
  <c r="FD7" i="1" s="1"/>
  <c r="CA7" i="1"/>
  <c r="BY7" i="1"/>
  <c r="BP7" i="1"/>
  <c r="BJ7" i="1"/>
  <c r="BE7" i="1"/>
  <c r="AU7" i="1"/>
  <c r="FL7" i="1" s="1"/>
  <c r="AR7" i="1"/>
  <c r="AQ7" i="1"/>
  <c r="AO7" i="1"/>
  <c r="DY7" i="1" s="1"/>
  <c r="AK7" i="1"/>
  <c r="AG7" i="1"/>
  <c r="FW7" i="1" s="1"/>
  <c r="Y7" i="1"/>
  <c r="FV7" i="1" s="1"/>
  <c r="P7" i="1"/>
  <c r="O7" i="1"/>
  <c r="N7" i="1"/>
  <c r="H7" i="1"/>
  <c r="F7" i="1"/>
  <c r="FT2" i="1"/>
  <c r="L2" i="1"/>
  <c r="M2" i="1" s="1"/>
  <c r="K8" i="1" l="1"/>
  <c r="FY10" i="1"/>
  <c r="DO12" i="1"/>
  <c r="FV15" i="1"/>
  <c r="D17" i="1"/>
  <c r="FB20" i="1"/>
  <c r="GN21" i="1"/>
  <c r="EO22" i="1"/>
  <c r="FJ7" i="1"/>
  <c r="FY9" i="1"/>
  <c r="FN10" i="1"/>
  <c r="EY12" i="1"/>
  <c r="FH18" i="1"/>
  <c r="BQ22" i="1"/>
  <c r="DQ23" i="1"/>
  <c r="E9" i="1"/>
  <c r="K10" i="1"/>
  <c r="EO10" i="1"/>
  <c r="BO12" i="1"/>
  <c r="EN12" i="1" s="1"/>
  <c r="DR19" i="1"/>
  <c r="FN20" i="1"/>
  <c r="FB22" i="1"/>
  <c r="BH18" i="1"/>
  <c r="EB21" i="1"/>
  <c r="EO23" i="1"/>
  <c r="EO7" i="1"/>
  <c r="ED11" i="1"/>
  <c r="L17" i="1"/>
  <c r="C18" i="1"/>
  <c r="DV18" i="1"/>
  <c r="DV19" i="1"/>
  <c r="EN21" i="1"/>
  <c r="ED21" i="1"/>
  <c r="EJ23" i="1"/>
  <c r="FT10" i="1"/>
  <c r="FV17" i="1"/>
  <c r="EY18" i="1"/>
  <c r="GN19" i="1"/>
  <c r="GK14" i="1"/>
  <c r="FW9" i="1"/>
  <c r="EC11" i="1"/>
  <c r="CO12" i="1"/>
  <c r="DT13" i="1"/>
  <c r="GJ14" i="1"/>
  <c r="EL16" i="1"/>
  <c r="GK17" i="1"/>
  <c r="DX18" i="1"/>
  <c r="DT19" i="1"/>
  <c r="FH20" i="1"/>
  <c r="FN22" i="1"/>
  <c r="FH23" i="1"/>
  <c r="DM7" i="1"/>
  <c r="FK8" i="1"/>
  <c r="GF10" i="1"/>
  <c r="BQ11" i="1"/>
  <c r="L12" i="1"/>
  <c r="EO13" i="1"/>
  <c r="EC14" i="1"/>
  <c r="GO15" i="1"/>
  <c r="FN15" i="1"/>
  <c r="DR17" i="1"/>
  <c r="FB19" i="1"/>
  <c r="EL20" i="1"/>
  <c r="ES20" i="1"/>
  <c r="C21" i="1"/>
  <c r="GO21" i="1" s="1"/>
  <c r="DN22" i="1"/>
  <c r="EL23" i="1"/>
  <c r="FX7" i="1"/>
  <c r="BI8" i="1"/>
  <c r="AZ10" i="1"/>
  <c r="G12" i="1"/>
  <c r="AW13" i="1"/>
  <c r="FY13" i="1" s="1"/>
  <c r="ED14" i="1"/>
  <c r="EO16" i="1"/>
  <c r="FV16" i="1"/>
  <c r="DS17" i="1"/>
  <c r="FD21" i="1"/>
  <c r="DO22" i="1"/>
  <c r="DV7" i="1"/>
  <c r="GO9" i="1"/>
  <c r="DV9" i="1"/>
  <c r="EG10" i="1"/>
  <c r="GK10" i="1"/>
  <c r="GF12" i="1"/>
  <c r="FB13" i="1"/>
  <c r="FN14" i="1"/>
  <c r="E15" i="1"/>
  <c r="GN15" i="1"/>
  <c r="DL15" i="1"/>
  <c r="GO16" i="1"/>
  <c r="GN16" i="1"/>
  <c r="ED16" i="1"/>
  <c r="GN17" i="1"/>
  <c r="ED17" i="1"/>
  <c r="FN18" i="1"/>
  <c r="FW19" i="1"/>
  <c r="FN21" i="1"/>
  <c r="EJ22" i="1"/>
  <c r="GN22" i="1"/>
  <c r="DQ22" i="1"/>
  <c r="GJ22" i="1"/>
  <c r="EN23" i="1"/>
  <c r="DW7" i="1"/>
  <c r="GJ7" i="1"/>
  <c r="D8" i="1"/>
  <c r="DO8" i="1"/>
  <c r="DW9" i="1"/>
  <c r="FN11" i="1"/>
  <c r="EX12" i="1"/>
  <c r="EB15" i="1"/>
  <c r="CO17" i="1"/>
  <c r="EA20" i="1"/>
  <c r="GO23" i="1"/>
  <c r="GN9" i="1"/>
  <c r="FK13" i="1"/>
  <c r="EL14" i="1"/>
  <c r="DQ14" i="1"/>
  <c r="FW14" i="1"/>
  <c r="FH16" i="1"/>
  <c r="GO20" i="1"/>
  <c r="EJ20" i="1"/>
  <c r="GN20" i="1"/>
  <c r="GN23" i="1"/>
  <c r="EB14" i="1"/>
  <c r="BI7" i="1"/>
  <c r="FE10" i="1"/>
  <c r="EB11" i="1"/>
  <c r="GI14" i="1"/>
  <c r="FY18" i="1"/>
  <c r="D20" i="1"/>
  <c r="FH22" i="1"/>
  <c r="DL9" i="1"/>
  <c r="EA23" i="1"/>
  <c r="DS16" i="1"/>
  <c r="FN16" i="1"/>
  <c r="FN17" i="1"/>
  <c r="BJ18" i="1"/>
  <c r="C17" i="1"/>
  <c r="GO17" i="1" s="1"/>
  <c r="DY8" i="1"/>
  <c r="FX8" i="1"/>
  <c r="BM9" i="1"/>
  <c r="EL9" i="1" s="1"/>
  <c r="CG9" i="1"/>
  <c r="FB9" i="1" s="1"/>
  <c r="EZ9" i="1"/>
  <c r="L10" i="1"/>
  <c r="EJ10" i="1" s="1"/>
  <c r="BY10" i="1"/>
  <c r="M11" i="1"/>
  <c r="FW13" i="1"/>
  <c r="DT14" i="1"/>
  <c r="M15" i="1"/>
  <c r="EL15" i="1"/>
  <c r="DV16" i="1"/>
  <c r="DT17" i="1"/>
  <c r="FW17" i="1"/>
  <c r="K18" i="1"/>
  <c r="BO18" i="1"/>
  <c r="DY18" i="1"/>
  <c r="FX18" i="1"/>
  <c r="I19" i="1"/>
  <c r="EB19" i="1"/>
  <c r="DY22" i="1"/>
  <c r="DO18" i="1"/>
  <c r="EG8" i="1"/>
  <c r="BH8" i="1"/>
  <c r="CO10" i="1"/>
  <c r="EJ17" i="1"/>
  <c r="FN19" i="1"/>
  <c r="EY9" i="1"/>
  <c r="FV9" i="1"/>
  <c r="BG12" i="1"/>
  <c r="BO7" i="1"/>
  <c r="EN7" i="1" s="1"/>
  <c r="C8" i="1"/>
  <c r="GO8" i="1" s="1"/>
  <c r="GH8" i="1"/>
  <c r="BO9" i="1"/>
  <c r="EN9" i="1" s="1"/>
  <c r="EB9" i="1"/>
  <c r="GI9" i="1"/>
  <c r="AO10" i="1"/>
  <c r="DY10" i="1" s="1"/>
  <c r="CA10" i="1"/>
  <c r="DO10" i="1"/>
  <c r="ER10" i="1"/>
  <c r="FV11" i="1"/>
  <c r="BM12" i="1"/>
  <c r="EL13" i="1"/>
  <c r="CW13" i="1"/>
  <c r="EJ15" i="1"/>
  <c r="EM15" i="1"/>
  <c r="FB16" i="1"/>
  <c r="FW16" i="1"/>
  <c r="EA17" i="1"/>
  <c r="L18" i="1"/>
  <c r="EM18" i="1" s="1"/>
  <c r="DL18" i="1"/>
  <c r="EC19" i="1"/>
  <c r="GI19" i="1"/>
  <c r="BK20" i="1"/>
  <c r="DT21" i="1"/>
  <c r="I22" i="1"/>
  <c r="FN23" i="1"/>
  <c r="GJ16" i="1"/>
  <c r="EO19" i="1"/>
  <c r="CO7" i="1"/>
  <c r="FH7" i="1" s="1"/>
  <c r="DM9" i="1"/>
  <c r="FT9" i="1"/>
  <c r="GK16" i="1"/>
  <c r="N8" i="1"/>
  <c r="EJ16" i="1"/>
  <c r="DT16" i="1"/>
  <c r="FH8" i="1"/>
  <c r="EC9" i="1"/>
  <c r="GJ9" i="1"/>
  <c r="CB10" i="1"/>
  <c r="EY10" i="1" s="1"/>
  <c r="ES10" i="1"/>
  <c r="O11" i="1"/>
  <c r="EN11" i="1" s="1"/>
  <c r="DS11" i="1"/>
  <c r="FY11" i="1"/>
  <c r="EO12" i="1"/>
  <c r="EV12" i="1"/>
  <c r="BN13" i="1"/>
  <c r="FH14" i="1"/>
  <c r="Q16" i="1"/>
  <c r="DJ16" i="1" s="1"/>
  <c r="EB17" i="1"/>
  <c r="GH17" i="1"/>
  <c r="DM18" i="1"/>
  <c r="GH18" i="1"/>
  <c r="ED19" i="1"/>
  <c r="GJ19" i="1"/>
  <c r="EM20" i="1"/>
  <c r="DQ20" i="1"/>
  <c r="BK22" i="1"/>
  <c r="FV22" i="1"/>
  <c r="BK23" i="1"/>
  <c r="GI16" i="1"/>
  <c r="DR16" i="1"/>
  <c r="M9" i="1"/>
  <c r="EV11" i="1"/>
  <c r="DR14" i="1"/>
  <c r="Q19" i="1"/>
  <c r="DH19" i="1" s="1"/>
  <c r="EV8" i="1"/>
  <c r="CD9" i="1"/>
  <c r="CC9" i="1" s="1"/>
  <c r="DS14" i="1"/>
  <c r="DL7" i="1"/>
  <c r="F8" i="1"/>
  <c r="ED9" i="1"/>
  <c r="D10" i="1"/>
  <c r="EA10" i="1"/>
  <c r="EO11" i="1"/>
  <c r="EA11" i="1"/>
  <c r="O12" i="1"/>
  <c r="EA14" i="1"/>
  <c r="I16" i="1"/>
  <c r="EB16" i="1"/>
  <c r="GH16" i="1"/>
  <c r="EC17" i="1"/>
  <c r="EJ18" i="1"/>
  <c r="DN18" i="1"/>
  <c r="GO19" i="1"/>
  <c r="GK19" i="1"/>
  <c r="DR20" i="1"/>
  <c r="EO21" i="1"/>
  <c r="EC21" i="1"/>
  <c r="GK21" i="1"/>
  <c r="DM22" i="1"/>
  <c r="EV22" i="1"/>
  <c r="GH22" i="1"/>
  <c r="EM23" i="1"/>
  <c r="DN23" i="1"/>
  <c r="GI23" i="1"/>
  <c r="GH14" i="1"/>
  <c r="DO14" i="1"/>
  <c r="DN14" i="1"/>
  <c r="DL14" i="1"/>
  <c r="Q14" i="1"/>
  <c r="DJ14" i="1" s="1"/>
  <c r="FV14" i="1"/>
  <c r="EZ10" i="1"/>
  <c r="I14" i="1"/>
  <c r="EO8" i="1"/>
  <c r="FT8" i="1"/>
  <c r="FE12" i="1"/>
  <c r="BN12" i="1"/>
  <c r="EM12" i="1" s="1"/>
  <c r="FL8" i="1"/>
  <c r="AW8" i="1"/>
  <c r="FY8" i="1" s="1"/>
  <c r="CW8" i="1"/>
  <c r="FJ8" i="1"/>
  <c r="EC8" i="1"/>
  <c r="C7" i="1"/>
  <c r="AW7" i="1"/>
  <c r="FN7" i="1" s="1"/>
  <c r="K7" i="1"/>
  <c r="DX10" i="1"/>
  <c r="EN15" i="1"/>
  <c r="EL19" i="1"/>
  <c r="DG19" i="1"/>
  <c r="FD12" i="1"/>
  <c r="C12" i="1"/>
  <c r="GO12" i="1" s="1"/>
  <c r="K12" i="1"/>
  <c r="AO12" i="1"/>
  <c r="DV12" i="1" s="1"/>
  <c r="D7" i="1"/>
  <c r="L7" i="1"/>
  <c r="EJ7" i="1" s="1"/>
  <c r="EI7" i="1"/>
  <c r="FK7" i="1"/>
  <c r="AS7" i="1"/>
  <c r="E7" i="1" s="1"/>
  <c r="EV7" i="1"/>
  <c r="O8" i="1"/>
  <c r="EZ8" i="1"/>
  <c r="AG8" i="1"/>
  <c r="I8" i="1" s="1"/>
  <c r="CG8" i="1"/>
  <c r="BG8" i="1"/>
  <c r="BM8" i="1"/>
  <c r="EL8" i="1" s="1"/>
  <c r="EX8" i="1"/>
  <c r="EJ9" i="1"/>
  <c r="EX7" i="1"/>
  <c r="BG7" i="1"/>
  <c r="BM7" i="1"/>
  <c r="CG7" i="1"/>
  <c r="FB7" i="1" s="1"/>
  <c r="EV10" i="1"/>
  <c r="DR11" i="1"/>
  <c r="GI11" i="1"/>
  <c r="DQ11" i="1"/>
  <c r="FB11" i="1"/>
  <c r="DT11" i="1"/>
  <c r="FW11" i="1"/>
  <c r="FT12" i="1"/>
  <c r="O10" i="1"/>
  <c r="EN10" i="1" s="1"/>
  <c r="AG10" i="1"/>
  <c r="DS10" i="1" s="1"/>
  <c r="EL12" i="1"/>
  <c r="BC10" i="1"/>
  <c r="G10" i="1" s="1"/>
  <c r="FD11" i="1"/>
  <c r="C11" i="1"/>
  <c r="K11" i="1"/>
  <c r="AO11" i="1"/>
  <c r="DX11" i="1" s="1"/>
  <c r="ES13" i="1"/>
  <c r="EF13" i="1"/>
  <c r="D13" i="1"/>
  <c r="GO13" i="1" s="1"/>
  <c r="L13" i="1"/>
  <c r="Y13" i="1"/>
  <c r="BH12" i="1"/>
  <c r="GN12" i="1" s="1"/>
  <c r="BH13" i="1"/>
  <c r="GN13" i="1" s="1"/>
  <c r="BQ13" i="1"/>
  <c r="DW13" i="1"/>
  <c r="G7" i="1"/>
  <c r="DN7" i="1"/>
  <c r="DX7" i="1"/>
  <c r="BN8" i="1"/>
  <c r="CC8" i="1"/>
  <c r="CS8" i="1"/>
  <c r="DL8" i="1"/>
  <c r="DV8" i="1"/>
  <c r="EY8" i="1"/>
  <c r="GJ8" i="1"/>
  <c r="BK9" i="1"/>
  <c r="DN9" i="1"/>
  <c r="DX9" i="1"/>
  <c r="GK9" i="1"/>
  <c r="EB10" i="1"/>
  <c r="G11" i="1"/>
  <c r="BK11" i="1"/>
  <c r="DL11" i="1"/>
  <c r="BI12" i="1"/>
  <c r="DL12" i="1"/>
  <c r="DS13" i="1"/>
  <c r="GI13" i="1"/>
  <c r="DQ13" i="1"/>
  <c r="EV13" i="1"/>
  <c r="EN20" i="1"/>
  <c r="GI21" i="1"/>
  <c r="DR21" i="1"/>
  <c r="I21" i="1"/>
  <c r="DQ21" i="1"/>
  <c r="DS21" i="1"/>
  <c r="DO7" i="1"/>
  <c r="DM8" i="1"/>
  <c r="DW8" i="1"/>
  <c r="FV8" i="1"/>
  <c r="DO9" i="1"/>
  <c r="DY9" i="1"/>
  <c r="EC10" i="1"/>
  <c r="FF10" i="1"/>
  <c r="Q11" i="1"/>
  <c r="DM11" i="1"/>
  <c r="DW11" i="1"/>
  <c r="EZ11" i="1"/>
  <c r="DM12" i="1"/>
  <c r="EG12" i="1"/>
  <c r="EZ12" i="1"/>
  <c r="FJ12" i="1"/>
  <c r="EO14" i="1"/>
  <c r="BQ15" i="1"/>
  <c r="EV15" i="1"/>
  <c r="BK15" i="1"/>
  <c r="G17" i="1"/>
  <c r="O17" i="1"/>
  <c r="H18" i="1"/>
  <c r="P18" i="1"/>
  <c r="EO18" i="1" s="1"/>
  <c r="FA18" i="1"/>
  <c r="DY21" i="1"/>
  <c r="DX21" i="1"/>
  <c r="DW21" i="1"/>
  <c r="FX21" i="1"/>
  <c r="GJ21" i="1"/>
  <c r="GH7" i="1"/>
  <c r="L8" i="1"/>
  <c r="BN9" i="1"/>
  <c r="EM9" i="1" s="1"/>
  <c r="DQ9" i="1"/>
  <c r="Q10" i="1"/>
  <c r="DG10" i="1" s="1"/>
  <c r="BI10" i="1"/>
  <c r="DN11" i="1"/>
  <c r="EH11" i="1"/>
  <c r="DN12" i="1"/>
  <c r="FK12" i="1"/>
  <c r="FV12" i="1"/>
  <c r="BK13" i="1"/>
  <c r="FX13" i="1"/>
  <c r="EM21" i="1"/>
  <c r="CK7" i="1"/>
  <c r="DR7" i="1"/>
  <c r="FE7" i="1"/>
  <c r="GI7" i="1"/>
  <c r="EI8" i="1"/>
  <c r="Q9" i="1"/>
  <c r="DG9" i="1" s="1"/>
  <c r="DR9" i="1"/>
  <c r="DL10" i="1"/>
  <c r="DO11" i="1"/>
  <c r="EI12" i="1"/>
  <c r="EJ13" i="1"/>
  <c r="EC13" i="1"/>
  <c r="FL13" i="1"/>
  <c r="ES14" i="1"/>
  <c r="BN14" i="1"/>
  <c r="GI15" i="1"/>
  <c r="DQ15" i="1"/>
  <c r="I15" i="1"/>
  <c r="DS15" i="1"/>
  <c r="FB15" i="1"/>
  <c r="DR15" i="1"/>
  <c r="CA18" i="1"/>
  <c r="BY18" i="1"/>
  <c r="BK19" i="1"/>
  <c r="EV19" i="1"/>
  <c r="BQ19" i="1"/>
  <c r="EP19" i="1" s="1"/>
  <c r="EN22" i="1"/>
  <c r="DS7" i="1"/>
  <c r="AC8" i="1"/>
  <c r="AS8" i="1"/>
  <c r="I9" i="1"/>
  <c r="DS9" i="1"/>
  <c r="EV9" i="1"/>
  <c r="AY10" i="1"/>
  <c r="BE10" i="1" s="1"/>
  <c r="DM10" i="1"/>
  <c r="FV10" i="1"/>
  <c r="GH10" i="1"/>
  <c r="L11" i="1"/>
  <c r="AW12" i="1"/>
  <c r="FN12" i="1" s="1"/>
  <c r="CG12" i="1"/>
  <c r="EJ12" i="1"/>
  <c r="GK13" i="1"/>
  <c r="EA13" i="1"/>
  <c r="EM13" i="1"/>
  <c r="BH14" i="1"/>
  <c r="GN14" i="1" s="1"/>
  <c r="BY14" i="1"/>
  <c r="DT15" i="1"/>
  <c r="BK16" i="1"/>
  <c r="EV16" i="1"/>
  <c r="BQ16" i="1"/>
  <c r="EP16" i="1" s="1"/>
  <c r="FB21" i="1"/>
  <c r="BH7" i="1"/>
  <c r="DT7" i="1"/>
  <c r="D11" i="1"/>
  <c r="AG12" i="1"/>
  <c r="G13" i="1"/>
  <c r="DM14" i="1"/>
  <c r="D14" i="1"/>
  <c r="GO14" i="1" s="1"/>
  <c r="EF14" i="1"/>
  <c r="L14" i="1"/>
  <c r="GJ15" i="1"/>
  <c r="DY15" i="1"/>
  <c r="DX15" i="1"/>
  <c r="DW15" i="1"/>
  <c r="FX15" i="1"/>
  <c r="FH15" i="1"/>
  <c r="DV15" i="1"/>
  <c r="BQ17" i="1"/>
  <c r="FB17" i="1"/>
  <c r="ER18" i="1"/>
  <c r="F19" i="1"/>
  <c r="N19" i="1"/>
  <c r="EJ19" i="1" s="1"/>
  <c r="EG19" i="1"/>
  <c r="EC15" i="1"/>
  <c r="GK15" i="1"/>
  <c r="FE17" i="1"/>
  <c r="D18" i="1"/>
  <c r="GO18" i="1" s="1"/>
  <c r="EG18" i="1"/>
  <c r="EZ18" i="1"/>
  <c r="DI19" i="1"/>
  <c r="FV19" i="1"/>
  <c r="EV21" i="1"/>
  <c r="FV21" i="1"/>
  <c r="EA22" i="1"/>
  <c r="GI22" i="1"/>
  <c r="DO23" i="1"/>
  <c r="DY23" i="1"/>
  <c r="FB23" i="1"/>
  <c r="GH23" i="1"/>
  <c r="DL16" i="1"/>
  <c r="AO17" i="1"/>
  <c r="BK17" i="1"/>
  <c r="O18" i="1"/>
  <c r="EN18" i="1" s="1"/>
  <c r="AG18" i="1"/>
  <c r="DQ18" i="1" s="1"/>
  <c r="DL19" i="1"/>
  <c r="FH19" i="1"/>
  <c r="FX19" i="1"/>
  <c r="GL19" i="1"/>
  <c r="EB20" i="1"/>
  <c r="GI20" i="1"/>
  <c r="DL21" i="1"/>
  <c r="DV21" i="1"/>
  <c r="EF21" i="1"/>
  <c r="DS22" i="1"/>
  <c r="EC22" i="1"/>
  <c r="GK22" i="1"/>
  <c r="DR23" i="1"/>
  <c r="EB23" i="1"/>
  <c r="GJ23" i="1"/>
  <c r="DV14" i="1"/>
  <c r="FX14" i="1"/>
  <c r="Q15" i="1"/>
  <c r="DM15" i="1"/>
  <c r="FY15" i="1"/>
  <c r="DM16" i="1"/>
  <c r="DW16" i="1"/>
  <c r="DL17" i="1"/>
  <c r="G18" i="1"/>
  <c r="EA18" i="1"/>
  <c r="DM19" i="1"/>
  <c r="DW19" i="1"/>
  <c r="FY19" i="1"/>
  <c r="BQ20" i="1"/>
  <c r="DS20" i="1"/>
  <c r="EC20" i="1"/>
  <c r="GJ20" i="1"/>
  <c r="N21" i="1"/>
  <c r="EJ21" i="1" s="1"/>
  <c r="BM21" i="1"/>
  <c r="EL21" i="1" s="1"/>
  <c r="CO21" i="1"/>
  <c r="FH21" i="1" s="1"/>
  <c r="DM21" i="1"/>
  <c r="FY21" i="1"/>
  <c r="Q22" i="1"/>
  <c r="DJ22" i="1" s="1"/>
  <c r="DT22" i="1"/>
  <c r="ED22" i="1"/>
  <c r="FW22" i="1"/>
  <c r="BQ23" i="1"/>
  <c r="DS23" i="1"/>
  <c r="EC23" i="1"/>
  <c r="EV23" i="1"/>
  <c r="FV23" i="1"/>
  <c r="GK23" i="1"/>
  <c r="DN15" i="1"/>
  <c r="DN16" i="1"/>
  <c r="FY16" i="1"/>
  <c r="Q17" i="1"/>
  <c r="BN17" i="1"/>
  <c r="EM17" i="1" s="1"/>
  <c r="DM17" i="1"/>
  <c r="EB18" i="1"/>
  <c r="DN19" i="1"/>
  <c r="DX19" i="1"/>
  <c r="FZ19" i="1"/>
  <c r="DT20" i="1"/>
  <c r="ED20" i="1"/>
  <c r="GK20" i="1"/>
  <c r="DN21" i="1"/>
  <c r="DV22" i="1"/>
  <c r="FX22" i="1"/>
  <c r="Q23" i="1"/>
  <c r="DJ23" i="1" s="1"/>
  <c r="DT23" i="1"/>
  <c r="ED23" i="1"/>
  <c r="DO15" i="1"/>
  <c r="DN17" i="1"/>
  <c r="EC18" i="1"/>
  <c r="GK18" i="1"/>
  <c r="DO19" i="1"/>
  <c r="Y20" i="1"/>
  <c r="EV20" i="1" s="1"/>
  <c r="DV20" i="1"/>
  <c r="EF20" i="1"/>
  <c r="FX20" i="1"/>
  <c r="DO21" i="1"/>
  <c r="DW22" i="1"/>
  <c r="I23" i="1"/>
  <c r="DL23" i="1"/>
  <c r="DV23" i="1"/>
  <c r="FX23" i="1"/>
  <c r="K17" i="1"/>
  <c r="Q21" i="1"/>
  <c r="DG21" i="1" s="1"/>
  <c r="DW23" i="1"/>
  <c r="DJ10" i="1" l="1"/>
  <c r="DR18" i="1"/>
  <c r="GN8" i="1"/>
  <c r="DI16" i="1"/>
  <c r="DR10" i="1"/>
  <c r="GL16" i="1"/>
  <c r="EL7" i="1"/>
  <c r="DH16" i="1"/>
  <c r="I11" i="1"/>
  <c r="EB12" i="1"/>
  <c r="DV10" i="1"/>
  <c r="FZ16" i="1"/>
  <c r="FN13" i="1"/>
  <c r="ED13" i="1"/>
  <c r="EB13" i="1"/>
  <c r="FH11" i="1"/>
  <c r="DW10" i="1"/>
  <c r="DG16" i="1"/>
  <c r="FX10" i="1"/>
  <c r="EJ8" i="1"/>
  <c r="M7" i="1"/>
  <c r="FZ10" i="1"/>
  <c r="EX10" i="1"/>
  <c r="BM10" i="1"/>
  <c r="EL10" i="1" s="1"/>
  <c r="FH10" i="1"/>
  <c r="DV11" i="1"/>
  <c r="BN10" i="1"/>
  <c r="EM10" i="1" s="1"/>
  <c r="Q7" i="1"/>
  <c r="GL7" i="1" s="1"/>
  <c r="BG10" i="1"/>
  <c r="Q18" i="1"/>
  <c r="GL18" i="1" s="1"/>
  <c r="BH10" i="1"/>
  <c r="GJ10" i="1"/>
  <c r="CG10" i="1"/>
  <c r="DH10" i="1"/>
  <c r="EM7" i="1"/>
  <c r="BQ9" i="1"/>
  <c r="EP9" i="1" s="1"/>
  <c r="DJ19" i="1"/>
  <c r="FX17" i="1"/>
  <c r="GJ17" i="1"/>
  <c r="DQ12" i="1"/>
  <c r="GI12" i="1"/>
  <c r="I12" i="1"/>
  <c r="DT12" i="1"/>
  <c r="DS12" i="1"/>
  <c r="DH11" i="1"/>
  <c r="EM11" i="1"/>
  <c r="FZ14" i="1"/>
  <c r="GL14" i="1"/>
  <c r="DI14" i="1"/>
  <c r="DG14" i="1"/>
  <c r="DN20" i="1"/>
  <c r="DL20" i="1"/>
  <c r="I20" i="1"/>
  <c r="FV20" i="1"/>
  <c r="Q20" i="1"/>
  <c r="EP20" i="1" s="1"/>
  <c r="DO20" i="1"/>
  <c r="GH20" i="1"/>
  <c r="FZ15" i="1"/>
  <c r="DJ15" i="1"/>
  <c r="GL15" i="1"/>
  <c r="DH15" i="1"/>
  <c r="E8" i="1"/>
  <c r="M8" i="1"/>
  <c r="EV18" i="1"/>
  <c r="EN17" i="1"/>
  <c r="DI17" i="1"/>
  <c r="EP15" i="1"/>
  <c r="FV13" i="1"/>
  <c r="GH13" i="1"/>
  <c r="DO13" i="1"/>
  <c r="Q13" i="1"/>
  <c r="DH13" i="1" s="1"/>
  <c r="DN13" i="1"/>
  <c r="DL13" i="1"/>
  <c r="I13" i="1"/>
  <c r="BQ7" i="1"/>
  <c r="GJ12" i="1"/>
  <c r="FX12" i="1"/>
  <c r="DY12" i="1"/>
  <c r="DW12" i="1"/>
  <c r="GL9" i="1"/>
  <c r="GL10" i="1"/>
  <c r="DR12" i="1"/>
  <c r="DH23" i="1"/>
  <c r="EP17" i="1"/>
  <c r="EJ14" i="1"/>
  <c r="DH14" i="1"/>
  <c r="CG18" i="1"/>
  <c r="FB18" i="1" s="1"/>
  <c r="EX18" i="1"/>
  <c r="DG15" i="1"/>
  <c r="GJ11" i="1"/>
  <c r="DY11" i="1"/>
  <c r="FX11" i="1"/>
  <c r="FB8" i="1"/>
  <c r="BQ8" i="1"/>
  <c r="BK8" i="1"/>
  <c r="DH9" i="1"/>
  <c r="FN8" i="1"/>
  <c r="EJ11" i="1"/>
  <c r="FZ17" i="1"/>
  <c r="DJ17" i="1"/>
  <c r="GL17" i="1"/>
  <c r="DV17" i="1"/>
  <c r="EP22" i="1"/>
  <c r="BM18" i="1"/>
  <c r="EL18" i="1" s="1"/>
  <c r="EM14" i="1"/>
  <c r="DX17" i="1"/>
  <c r="FZ11" i="1"/>
  <c r="DJ11" i="1"/>
  <c r="GL11" i="1"/>
  <c r="DI11" i="1"/>
  <c r="EL11" i="1"/>
  <c r="DG11" i="1"/>
  <c r="GI10" i="1"/>
  <c r="FW10" i="1"/>
  <c r="I10" i="1"/>
  <c r="DT10" i="1"/>
  <c r="DQ10" i="1"/>
  <c r="FW12" i="1"/>
  <c r="GN7" i="1"/>
  <c r="DQ8" i="1"/>
  <c r="GI8" i="1"/>
  <c r="DT8" i="1"/>
  <c r="Q8" i="1"/>
  <c r="DI8" i="1" s="1"/>
  <c r="EA8" i="1"/>
  <c r="GK8" i="1"/>
  <c r="ED8" i="1"/>
  <c r="FZ9" i="1"/>
  <c r="FZ21" i="1"/>
  <c r="GL21" i="1"/>
  <c r="DI21" i="1"/>
  <c r="DJ21" i="1"/>
  <c r="DW17" i="1"/>
  <c r="FZ22" i="1"/>
  <c r="GL22" i="1"/>
  <c r="DG22" i="1"/>
  <c r="DH22" i="1"/>
  <c r="FW18" i="1"/>
  <c r="I18" i="1"/>
  <c r="GI18" i="1"/>
  <c r="DM20" i="1"/>
  <c r="BQ21" i="1"/>
  <c r="EP21" i="1" s="1"/>
  <c r="BG18" i="1"/>
  <c r="GN18" i="1" s="1"/>
  <c r="DJ18" i="1"/>
  <c r="DY17" i="1"/>
  <c r="DM13" i="1"/>
  <c r="GO11" i="1"/>
  <c r="DI10" i="1"/>
  <c r="BQ10" i="1"/>
  <c r="EP10" i="1" s="1"/>
  <c r="DI15" i="1"/>
  <c r="GK7" i="1"/>
  <c r="ED7" i="1"/>
  <c r="EC7" i="1"/>
  <c r="FY7" i="1"/>
  <c r="I7" i="1"/>
  <c r="C10" i="1"/>
  <c r="GO10" i="1" s="1"/>
  <c r="FZ23" i="1"/>
  <c r="GL23" i="1"/>
  <c r="DG23" i="1"/>
  <c r="DG17" i="1"/>
  <c r="EL17" i="1"/>
  <c r="BK21" i="1"/>
  <c r="DI18" i="1"/>
  <c r="BK14" i="1"/>
  <c r="BQ14" i="1"/>
  <c r="EP14" i="1" s="1"/>
  <c r="EV14" i="1"/>
  <c r="FB12" i="1"/>
  <c r="BK12" i="1"/>
  <c r="BQ12" i="1"/>
  <c r="DH21" i="1"/>
  <c r="DH17" i="1"/>
  <c r="DJ7" i="1"/>
  <c r="FZ7" i="1"/>
  <c r="DS18" i="1"/>
  <c r="Q12" i="1"/>
  <c r="FZ12" i="1" s="1"/>
  <c r="DI7" i="1"/>
  <c r="EN8" i="1"/>
  <c r="EB7" i="1"/>
  <c r="DX12" i="1"/>
  <c r="FH17" i="1"/>
  <c r="EA7" i="1"/>
  <c r="DI22" i="1"/>
  <c r="FW8" i="1"/>
  <c r="EB8" i="1"/>
  <c r="EP23" i="1"/>
  <c r="GK12" i="1"/>
  <c r="FY12" i="1"/>
  <c r="EA12" i="1"/>
  <c r="ED12" i="1"/>
  <c r="EC12" i="1"/>
  <c r="DJ9" i="1"/>
  <c r="DI9" i="1"/>
  <c r="DT18" i="1"/>
  <c r="DI23" i="1"/>
  <c r="EM8" i="1"/>
  <c r="BK7" i="1"/>
  <c r="DR8" i="1"/>
  <c r="EP11" i="1"/>
  <c r="I17" i="1"/>
  <c r="GO7" i="1"/>
  <c r="FH12" i="1"/>
  <c r="DS8" i="1"/>
  <c r="EP13" i="1" l="1"/>
  <c r="FZ18" i="1"/>
  <c r="DG7" i="1"/>
  <c r="BQ18" i="1"/>
  <c r="EP18" i="1" s="1"/>
  <c r="FB10" i="1"/>
  <c r="BK10" i="1"/>
  <c r="DH7" i="1"/>
  <c r="DH18" i="1"/>
  <c r="DG18" i="1"/>
  <c r="EP7" i="1"/>
  <c r="GN10" i="1"/>
  <c r="DG8" i="1"/>
  <c r="GL8" i="1"/>
  <c r="K2" i="1"/>
  <c r="DJ8" i="1"/>
  <c r="EP8" i="1"/>
  <c r="DH8" i="1"/>
  <c r="GL13" i="1"/>
  <c r="FZ13" i="1"/>
  <c r="DG13" i="1"/>
  <c r="DJ13" i="1"/>
  <c r="DI13" i="1"/>
  <c r="GL12" i="1"/>
  <c r="DI12" i="1"/>
  <c r="DJ12" i="1"/>
  <c r="DH12" i="1"/>
  <c r="BK18" i="1"/>
  <c r="FZ20" i="1"/>
  <c r="DH20" i="1"/>
  <c r="DG20" i="1"/>
  <c r="GL20" i="1"/>
  <c r="DJ20" i="1"/>
  <c r="DI20" i="1"/>
  <c r="EP12" i="1"/>
  <c r="FZ8" i="1"/>
  <c r="D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jharris</author>
    <author>rtedder</author>
    <author>marlistruwig</author>
  </authors>
  <commentList>
    <comment ref="A7" authorId="0" shapeId="0" xr:uid="{C95958E3-0991-4853-BAEA-1A30463A536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Not reviewed as not in benchmarking publication</t>
        </r>
      </text>
    </comment>
    <comment ref="S7" authorId="0" shapeId="0" xr:uid="{C976A34E-0818-4B3C-9E6F-CEB20C55E4CF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can't find these numbers</t>
        </r>
      </text>
    </comment>
    <comment ref="CA8" authorId="1" shapeId="0" xr:uid="{D28E69FC-B56C-4CC6-83C3-5A193491CAC8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Excludes £201m RV provision weighted by Motor S1/S2 balance split</t>
        </r>
      </text>
    </comment>
    <comment ref="CB8" authorId="1" shapeId="0" xr:uid="{E8E96D98-E9F2-43FF-B8FB-6B5184B342CA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Excludes £201m RV provision weighted by Motor S1/S2 balance split</t>
        </r>
      </text>
    </comment>
    <comment ref="A9" authorId="0" shapeId="0" xr:uid="{5C7B7006-FC44-45F1-A971-19378EEB9896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Not reviewed as not in benchmarking publication</t>
        </r>
      </text>
    </comment>
    <comment ref="FQ9" authorId="1" shapeId="0" xr:uid="{9AFACE24-A339-4C0A-9952-A902BCA8B7D3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Assumes 100% of post write-off recoveries attributable to the cards portfolio</t>
        </r>
      </text>
    </comment>
    <comment ref="AQ10" authorId="1" shapeId="0" xr:uid="{8B5C4699-E9A7-4B2A-B6F6-238E1591553E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total customer loans per the note less disclosued customer loans
assumes no items out of S1</t>
        </r>
      </text>
    </comment>
    <comment ref="GF10" authorId="1" shapeId="0" xr:uid="{378738AB-BF1D-4CA2-BB8D-6AEB20915D21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page 92 ARA</t>
        </r>
      </text>
    </comment>
    <comment ref="A11" authorId="1" shapeId="0" xr:uid="{42D2BFEB-2F1C-4AEC-BB0D-684E1D9A9D56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April 2019 year end
JH: all numbers corss-checked for accuracy</t>
        </r>
      </text>
    </comment>
    <comment ref="CW13" authorId="1" shapeId="0" xr:uid="{B09CAFA9-6A19-4AD7-89FA-0F7378C6C7B9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split not disclosued, assumed same as YE18
</t>
        </r>
      </text>
    </comment>
    <comment ref="DE13" authorId="1" shapeId="0" xr:uid="{66C971DC-7630-4990-9FEB-2116A6D869BB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split not disclosued, assumed same as YE18
</t>
        </r>
      </text>
    </comment>
    <comment ref="FT13" authorId="2" shapeId="0" xr:uid="{27021687-5FD5-4E34-8E14-17AA544E2408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Split not available in AFS</t>
        </r>
      </text>
    </comment>
    <comment ref="GF13" authorId="2" shapeId="0" xr:uid="{0B4B1FB7-5E1C-4440-9CA1-E30B37D7899C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Split not provided</t>
        </r>
      </text>
    </comment>
    <comment ref="C15" authorId="0" shapeId="0" xr:uid="{4375A1BA-06D7-40C8-8E4D-F6DB5F346661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per page 150</t>
        </r>
      </text>
    </comment>
    <comment ref="S15" authorId="0" shapeId="0" xr:uid="{1CCE2AF5-FA5B-47D3-BC9C-AD6E3225A205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Per pg. 151</t>
        </r>
      </text>
    </comment>
    <comment ref="BG15" authorId="0" shapeId="0" xr:uid="{E8530D6E-9FC7-4D8A-BD32-A36354C3A401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Per pg 153</t>
        </r>
      </text>
    </comment>
    <comment ref="A16" authorId="0" shapeId="0" xr:uid="{F052F67C-B43F-43D4-BC2E-205706C89239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Not checked as not used in publication</t>
        </r>
      </text>
    </comment>
    <comment ref="AY17" authorId="2" shapeId="0" xr:uid="{CC448F5F-E58A-480D-A77C-78F5558B92B7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Debt securities  + L&amp;A to banks p111 + other financial assets p120 (cash and balances at central banks)</t>
        </r>
      </text>
    </comment>
    <comment ref="CY17" authorId="2" shapeId="0" xr:uid="{C81757AD-32E6-4D54-9903-DFF29C1407AB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L+A to banks p111</t>
        </r>
      </text>
    </comment>
    <comment ref="FS17" authorId="2" shapeId="0" xr:uid="{7565DFA9-B462-4764-A925-8DBF318BC7F7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allowance movement for loans and advances to banks</t>
        </r>
      </text>
    </comment>
    <comment ref="AA18" authorId="2" shapeId="0" xr:uid="{75F9DBE5-F076-46BF-9F00-AE7B77064790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Total retail split provided, therefore deducted mortgage numbers to get unsecured retail</t>
        </r>
      </text>
    </comment>
    <comment ref="AI18" authorId="2" shapeId="0" xr:uid="{1E772864-6187-4D2F-B9A6-42974639DD03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SME p100</t>
        </r>
      </text>
    </comment>
    <comment ref="AY18" authorId="2" shapeId="0" xr:uid="{DCF68F87-9641-4982-B93D-A8A356CA8439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L&amp;A to banks + Investment securities + derivative fin instruments + other assets</t>
        </r>
      </text>
    </comment>
    <comment ref="CA18" authorId="2" shapeId="0" xr:uid="{9ED3FDD0-831C-4C97-B4D5-A187B7DAA2E4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Total retail Ecl split provided, therefore deducted mortgage numbers to get unsecured retail</t>
        </r>
      </text>
    </comment>
    <comment ref="CI18" authorId="2" shapeId="0" xr:uid="{852370A8-074C-4E94-849D-5681AA8ABD92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SME p101</t>
        </r>
      </text>
    </comment>
    <comment ref="FT18" authorId="2" shapeId="0" xr:uid="{8DBD48B1-A538-4CC1-B2A8-3F4BC0450894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net impairment gain for the year</t>
        </r>
      </text>
    </comment>
    <comment ref="AQ19" authorId="2" shapeId="0" xr:uid="{A4DB5930-7645-4189-9EB9-D0301F95D6A5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debt factoring advances + other loans p205</t>
        </r>
      </text>
    </comment>
    <comment ref="AI21" authorId="2" shapeId="0" xr:uid="{037CCC07-63A0-454E-9D67-42730A1603F7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Including asset and invoice finance</t>
        </r>
      </text>
    </comment>
    <comment ref="CI21" authorId="2" shapeId="0" xr:uid="{E4043DC6-8662-43FD-9009-E5F7B29CB1A5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including asset and invoice finance</t>
        </r>
      </text>
    </comment>
  </commentList>
</comments>
</file>

<file path=xl/sharedStrings.xml><?xml version="1.0" encoding="utf-8"?>
<sst xmlns="http://schemas.openxmlformats.org/spreadsheetml/2006/main" count="922" uniqueCount="252">
  <si>
    <t>Financials and coverage 2H19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</si>
  <si>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</si>
  <si>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</si>
  <si>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</si>
  <si>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</si>
  <si>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</si>
  <si>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</si>
  <si>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</si>
  <si>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</si>
  <si>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</si>
  <si>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</si>
  <si>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</si>
  <si>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</si>
  <si>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</si>
  <si>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</si>
  <si>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</si>
  <si>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</si>
  <si>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</si>
  <si>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</si>
  <si>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</si>
  <si>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</si>
  <si>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</si>
  <si>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</si>
  <si>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</si>
  <si>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</si>
  <si>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</si>
  <si>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</si>
  <si>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</si>
  <si>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</si>
  <si>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</si>
  <si>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</si>
  <si>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</si>
  <si>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</si>
  <si>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</si>
  <si>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</si>
  <si>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</si>
  <si>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</si>
  <si>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</si>
  <si>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</si>
  <si>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</si>
  <si>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</si>
  <si>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</si>
  <si>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</si>
  <si>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</si>
  <si>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</si>
  <si>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</si>
  <si>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</si>
  <si>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</si>
  <si>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</si>
  <si>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</si>
  <si>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</si>
  <si>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</si>
  <si>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</si>
  <si>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</si>
  <si>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</si>
  <si>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</si>
  <si>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</si>
  <si>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</si>
  <si>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</si>
  <si>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</si>
  <si>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</si>
  <si>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</si>
  <si>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</si>
  <si>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</si>
  <si>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</si>
  <si>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</si>
  <si>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</si>
  <si>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</si>
  <si>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</si>
  <si>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</si>
  <si>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</si>
  <si>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</si>
  <si>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</si>
  <si>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</si>
  <si>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</si>
  <si>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</si>
  <si>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</si>
  <si>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</si>
  <si>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</si>
  <si>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</si>
  <si>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</si>
  <si>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</si>
  <si>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</si>
  <si>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</si>
  <si>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</si>
  <si>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</si>
  <si>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</si>
  <si>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</si>
  <si>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</si>
  <si>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</si>
  <si>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</si>
  <si>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</si>
  <si>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</si>
  <si>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</si>
  <si>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</si>
  <si>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</si>
  <si>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</si>
  <si>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</si>
  <si>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</si>
  <si>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</si>
  <si>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</si>
  <si>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</si>
  <si>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</si>
  <si>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</si>
  <si>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</si>
  <si>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</si>
  <si>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</si>
  <si>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</si>
  <si>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</si>
  <si>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</si>
  <si>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</si>
  <si>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</si>
  <si>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</si>
  <si>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</si>
  <si>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</si>
  <si>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</si>
  <si>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</si>
  <si>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</si>
  <si>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</si>
  <si>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</si>
  <si>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</si>
  <si>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</si>
  <si>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</si>
  <si>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</si>
  <si>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</si>
  <si>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</si>
  <si>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</si>
  <si>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</si>
  <si>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</si>
  <si>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</si>
  <si>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</si>
  <si>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</si>
  <si>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</si>
  <si>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</si>
  <si>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</si>
  <si>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</si>
  <si>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</si>
  <si>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</si>
  <si>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</si>
  <si>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</si>
  <si>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</si>
  <si>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</si>
  <si>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</si>
  <si>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</si>
  <si>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</si>
  <si>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</si>
  <si>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</si>
  <si>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</si>
  <si>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</si>
  <si>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</si>
  <si>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</si>
  <si>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</si>
  <si>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</si>
  <si>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</si>
  <si>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</si>
  <si>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</si>
  <si>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</si>
  <si>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</si>
  <si>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</si>
  <si>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</si>
  <si>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</si>
  <si>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</si>
  <si>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</si>
  <si>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</si>
  <si>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</si>
  <si>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</si>
  <si>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</si>
  <si>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</si>
  <si>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</si>
  <si>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</si>
  <si>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</si>
  <si>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</si>
  <si>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</si>
  <si>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</si>
  <si>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</si>
  <si>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</si>
  <si>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</si>
  <si>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</si>
  <si>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</si>
  <si>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</si>
  <si>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</si>
  <si>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</si>
  <si>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</si>
  <si>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</si>
  <si>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</si>
  <si>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</si>
  <si>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</si>
  <si>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</si>
  <si>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</si>
  <si>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</si>
  <si>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</si>
  <si>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</si>
  <si>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</si>
  <si>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</si>
  <si>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</si>
  <si>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Firm</t>
  </si>
  <si>
    <t>Assets @ Gross Amortised Cost (£bn)</t>
  </si>
  <si>
    <t>ECL (£m)</t>
  </si>
  <si>
    <t>Staging balances (%)</t>
  </si>
  <si>
    <t>Stage 2 Analysis</t>
  </si>
  <si>
    <t>Coverage (%)</t>
  </si>
  <si>
    <t>Loss rates</t>
  </si>
  <si>
    <t>S1 &amp; S2 
Impairment (£ mn)</t>
  </si>
  <si>
    <t>S1 &amp; S2 
Exposure (£ mn)</t>
  </si>
  <si>
    <t>Total Assets</t>
  </si>
  <si>
    <t>Mortgages</t>
  </si>
  <si>
    <t>Consumer Lending (including Auto Finance)</t>
  </si>
  <si>
    <t>Corporate &amp; Commercial</t>
  </si>
  <si>
    <t>Other Loans &amp; Advances</t>
  </si>
  <si>
    <t>Other Assets</t>
  </si>
  <si>
    <t>Total</t>
  </si>
  <si>
    <t>Total Loans &amp; Advances</t>
  </si>
  <si>
    <t>% of S2 30+</t>
  </si>
  <si>
    <t>P&amp;L Charge (£m)</t>
  </si>
  <si>
    <t>AQR (% L&amp;A)</t>
  </si>
  <si>
    <t>Gross Write-offs (£m)</t>
  </si>
  <si>
    <t>Write-off rate (%)</t>
  </si>
  <si>
    <t>S1</t>
  </si>
  <si>
    <t>S2</t>
  </si>
  <si>
    <t>S2 UTD</t>
  </si>
  <si>
    <t>S230+</t>
  </si>
  <si>
    <t>S3</t>
  </si>
  <si>
    <t>POCI</t>
  </si>
  <si>
    <t>Mtgs</t>
  </si>
  <si>
    <t>Cons</t>
  </si>
  <si>
    <t>Comm</t>
  </si>
  <si>
    <t>Other L&amp;A</t>
  </si>
  <si>
    <t>Total L&amp;A</t>
  </si>
  <si>
    <t>Other</t>
  </si>
  <si>
    <t>HSBC - UK</t>
  </si>
  <si>
    <t>N/A</t>
  </si>
  <si>
    <t>Barclays - UK</t>
  </si>
  <si>
    <t>Nationwide</t>
  </si>
  <si>
    <t>Coventry BS</t>
  </si>
  <si>
    <t>TSB</t>
  </si>
  <si>
    <t>Bank of Ireland UK</t>
  </si>
  <si>
    <t>Co-operative Bank</t>
  </si>
  <si>
    <t>Skipton BS</t>
  </si>
  <si>
    <t>Leeds BS</t>
  </si>
  <si>
    <t>Metro Bank</t>
  </si>
  <si>
    <t>Loans and Advances to Customers @ Gross Amortised Cost (£bn)</t>
  </si>
  <si>
    <t>Loans and Advances</t>
  </si>
  <si>
    <t>Santander - UK</t>
  </si>
  <si>
    <t>Yorkshire BS Group</t>
  </si>
  <si>
    <t>Virgin Money</t>
  </si>
  <si>
    <t>Paragon Group</t>
  </si>
  <si>
    <t>Clydesdale Bank PLC</t>
  </si>
  <si>
    <t>OSB</t>
  </si>
  <si>
    <t>CCFS</t>
  </si>
  <si>
    <t>NatWest Bank PLC</t>
  </si>
  <si>
    <t>Lloyds - Underlying</t>
  </si>
  <si>
    <t>Topaz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</si>
</sst>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%"/>
    <numFmt numFmtId="165" formatCode="#,##0.000"/>
    <numFmt numFmtId="166" formatCode="_-* #,##0_-;\-* #,##0_-;_-* &quot;-&quot;??_-;_-@_-"/>
    <numFmt numFmtId="167" formatCode="#,##0.0"/>
    <numFmt numFmtId="168" formatCode="#,##0.00000"/>
    <numFmt numFmtId="169" formatCode="_-* #,##0.0000_-;\-* #,##0.0000_-;_-* &quot;-&quot;??_-;_-@_-"/>
    <numFmt numFmtId="170" formatCode="#,##0.0000"/>
    <numFmt numFmtId="171" formatCode="0.00000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centerContinuous"/>
    </xf>
    <xf numFmtId="0" fontId="0" fillId="0" borderId="0" xfId="0" applyAlignment="1">
      <alignment horizontal="left"/>
    </xf>
    <xf numFmtId="164" fontId="2" fillId="2" borderId="1" xfId="0" applyNumberFormat="1" applyFont="1" applyFill="1" applyBorder="1" applyAlignment="1">
      <alignment horizontal="centerContinuous"/>
    </xf>
    <xf numFmtId="3" fontId="2" fillId="2" borderId="1" xfId="0" applyNumberFormat="1" applyFont="1" applyFill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Alignment="1">
      <alignment horizontal="right"/>
    </xf>
    <xf numFmtId="3" fontId="0" fillId="0" borderId="3" xfId="0" applyNumberFormat="1" applyBorder="1" applyAlignment="1">
      <alignment horizontal="centerContinuous" vertical="center"/>
    </xf>
    <xf numFmtId="164" fontId="0" fillId="0" borderId="3" xfId="0" applyNumberFormat="1" applyBorder="1" applyAlignment="1">
      <alignment horizontal="centerContinuous"/>
    </xf>
    <xf numFmtId="3" fontId="0" fillId="0" borderId="3" xfId="0" applyNumberFormat="1" applyBorder="1" applyAlignment="1">
      <alignment horizontal="centerContinuous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4" borderId="0" xfId="0" applyFill="1" applyAlignment="1">
      <alignment vertical="center"/>
    </xf>
    <xf numFmtId="3" fontId="0" fillId="4" borderId="0" xfId="0" applyNumberForma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 wrapText="1"/>
    </xf>
    <xf numFmtId="3" fontId="0" fillId="4" borderId="0" xfId="0" applyNumberFormat="1" applyFill="1" applyAlignment="1">
      <alignment vertical="center" wrapText="1"/>
    </xf>
    <xf numFmtId="4" fontId="4" fillId="4" borderId="0" xfId="0" applyNumberFormat="1" applyFont="1" applyFill="1" applyAlignment="1">
      <alignment horizontal="right" vertical="center" wrapText="1"/>
    </xf>
    <xf numFmtId="4" fontId="0" fillId="4" borderId="0" xfId="0" applyNumberFormat="1" applyFill="1" applyAlignment="1">
      <alignment vertical="center" wrapText="1"/>
    </xf>
    <xf numFmtId="3" fontId="0" fillId="4" borderId="0" xfId="0" applyNumberFormat="1" applyFill="1" applyAlignment="1">
      <alignment horizontal="right" vertical="center" wrapText="1"/>
    </xf>
    <xf numFmtId="9" fontId="5" fillId="4" borderId="0" xfId="0" applyNumberFormat="1" applyFont="1" applyFill="1" applyAlignment="1">
      <alignment horizontal="right" vertical="center" wrapText="1"/>
    </xf>
    <xf numFmtId="164" fontId="0" fillId="4" borderId="0" xfId="0" applyNumberFormat="1" applyFill="1" applyAlignment="1">
      <alignment horizontal="right" vertical="center" wrapText="1"/>
    </xf>
    <xf numFmtId="10" fontId="0" fillId="4" borderId="0" xfId="0" applyNumberFormat="1" applyFill="1" applyAlignment="1">
      <alignment horizontal="righ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  <xf numFmtId="3" fontId="6" fillId="4" borderId="0" xfId="0" applyNumberFormat="1" applyFont="1" applyFill="1"/>
    <xf numFmtId="10" fontId="0" fillId="4" borderId="0" xfId="0" applyNumberForma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166" fontId="0" fillId="0" borderId="0" xfId="1" applyNumberFormat="1" applyFont="1" applyFill="1"/>
    <xf numFmtId="3" fontId="0" fillId="4" borderId="0" xfId="0" applyNumberFormat="1" applyFill="1"/>
    <xf numFmtId="0" fontId="0" fillId="5" borderId="0" xfId="0" applyFill="1" applyAlignment="1">
      <alignment vertical="center"/>
    </xf>
    <xf numFmtId="3" fontId="0" fillId="5" borderId="0" xfId="0" applyNumberForma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4" fillId="5" borderId="0" xfId="0" applyNumberFormat="1" applyFont="1" applyFill="1" applyAlignment="1">
      <alignment vertical="center" wrapText="1"/>
    </xf>
    <xf numFmtId="3" fontId="0" fillId="5" borderId="0" xfId="0" applyNumberFormat="1" applyFill="1" applyAlignment="1">
      <alignment horizontal="right" vertical="center" wrapText="1"/>
    </xf>
    <xf numFmtId="3" fontId="0" fillId="5" borderId="0" xfId="0" applyNumberFormat="1" applyFill="1" applyAlignment="1">
      <alignment vertical="center" wrapText="1"/>
    </xf>
    <xf numFmtId="3" fontId="4" fillId="5" borderId="0" xfId="0" applyNumberFormat="1" applyFont="1" applyFill="1" applyAlignment="1">
      <alignment horizontal="right" vertical="center" wrapText="1"/>
    </xf>
    <xf numFmtId="4" fontId="4" fillId="5" borderId="0" xfId="0" applyNumberFormat="1" applyFont="1" applyFill="1" applyAlignment="1">
      <alignment vertical="center" wrapText="1"/>
    </xf>
    <xf numFmtId="4" fontId="0" fillId="5" borderId="0" xfId="0" applyNumberFormat="1" applyFill="1" applyAlignment="1">
      <alignment vertical="center" wrapText="1"/>
    </xf>
    <xf numFmtId="3" fontId="5" fillId="5" borderId="0" xfId="0" applyNumberFormat="1" applyFont="1" applyFill="1" applyAlignment="1">
      <alignment horizontal="right" vertical="center" wrapText="1"/>
    </xf>
    <xf numFmtId="9" fontId="5" fillId="5" borderId="0" xfId="0" applyNumberFormat="1" applyFont="1" applyFill="1" applyAlignment="1">
      <alignment horizontal="right" vertical="center" wrapText="1"/>
    </xf>
    <xf numFmtId="164" fontId="0" fillId="5" borderId="0" xfId="0" applyNumberFormat="1" applyFill="1" applyAlignment="1">
      <alignment horizontal="right" vertical="center" wrapText="1"/>
    </xf>
    <xf numFmtId="10" fontId="0" fillId="5" borderId="0" xfId="0" applyNumberFormat="1" applyFill="1" applyAlignment="1">
      <alignment horizontal="right" vertical="center"/>
    </xf>
    <xf numFmtId="164" fontId="0" fillId="5" borderId="0" xfId="0" applyNumberFormat="1" applyFill="1" applyAlignment="1">
      <alignment horizontal="right" vertical="center"/>
    </xf>
    <xf numFmtId="0" fontId="0" fillId="5" borderId="0" xfId="0" applyFill="1"/>
    <xf numFmtId="3" fontId="7" fillId="5" borderId="0" xfId="0" applyNumberFormat="1" applyFont="1" applyFill="1"/>
    <xf numFmtId="3" fontId="0" fillId="5" borderId="0" xfId="0" applyNumberFormat="1" applyFill="1"/>
    <xf numFmtId="10" fontId="0" fillId="5" borderId="0" xfId="0" applyNumberFormat="1" applyFill="1" applyAlignment="1">
      <alignment horizontal="right"/>
    </xf>
    <xf numFmtId="0" fontId="7" fillId="5" borderId="0" xfId="0" applyFont="1" applyFill="1" applyAlignment="1">
      <alignment horizontal="right"/>
    </xf>
    <xf numFmtId="3" fontId="6" fillId="5" borderId="0" xfId="0" applyNumberFormat="1" applyFont="1" applyFill="1" applyAlignment="1">
      <alignment horizontal="right"/>
    </xf>
    <xf numFmtId="3" fontId="4" fillId="4" borderId="0" xfId="0" applyNumberFormat="1" applyFont="1" applyFill="1" applyAlignment="1">
      <alignment vertical="center" wrapText="1"/>
    </xf>
    <xf numFmtId="4" fontId="4" fillId="4" borderId="0" xfId="0" applyNumberFormat="1" applyFont="1" applyFill="1" applyAlignment="1">
      <alignment vertical="center" wrapText="1"/>
    </xf>
    <xf numFmtId="4" fontId="0" fillId="4" borderId="0" xfId="0" applyNumberFormat="1" applyFill="1" applyAlignment="1">
      <alignment horizontal="right" vertical="center" wrapText="1"/>
    </xf>
    <xf numFmtId="3" fontId="5" fillId="4" borderId="0" xfId="0" applyNumberFormat="1" applyFont="1" applyFill="1" applyAlignment="1">
      <alignment horizontal="right" vertical="center" wrapText="1"/>
    </xf>
    <xf numFmtId="3" fontId="7" fillId="4" borderId="0" xfId="0" applyNumberFormat="1" applyFont="1" applyFill="1"/>
    <xf numFmtId="0" fontId="7" fillId="4" borderId="0" xfId="0" applyFont="1" applyFill="1" applyAlignment="1">
      <alignment horizontal="right"/>
    </xf>
    <xf numFmtId="4" fontId="4" fillId="5" borderId="0" xfId="0" applyNumberFormat="1" applyFont="1" applyFill="1" applyAlignment="1">
      <alignment horizontal="right" vertical="center" wrapText="1"/>
    </xf>
    <xf numFmtId="3" fontId="5" fillId="5" borderId="0" xfId="0" applyNumberFormat="1" applyFont="1" applyFill="1" applyAlignment="1">
      <alignment horizontal="right"/>
    </xf>
    <xf numFmtId="167" fontId="5" fillId="5" borderId="0" xfId="0" applyNumberFormat="1" applyFont="1" applyFill="1" applyAlignment="1">
      <alignment vertical="center" wrapText="1"/>
    </xf>
    <xf numFmtId="167" fontId="4" fillId="5" borderId="0" xfId="0" applyNumberFormat="1" applyFont="1" applyFill="1" applyAlignment="1">
      <alignment vertical="center" wrapText="1"/>
    </xf>
    <xf numFmtId="165" fontId="0" fillId="5" borderId="0" xfId="0" applyNumberFormat="1" applyFill="1" applyAlignment="1">
      <alignment vertical="center" wrapText="1"/>
    </xf>
    <xf numFmtId="166" fontId="4" fillId="5" borderId="0" xfId="1" applyNumberFormat="1" applyFont="1" applyFill="1" applyAlignment="1">
      <alignment vertical="center" wrapText="1"/>
    </xf>
    <xf numFmtId="166" fontId="0" fillId="5" borderId="0" xfId="1" applyNumberFormat="1" applyFont="1" applyFill="1" applyAlignment="1">
      <alignment horizontal="right" vertical="center" wrapText="1"/>
    </xf>
    <xf numFmtId="166" fontId="4" fillId="5" borderId="0" xfId="1" applyNumberFormat="1" applyFont="1" applyFill="1" applyAlignment="1">
      <alignment horizontal="right" vertical="center" wrapText="1"/>
    </xf>
    <xf numFmtId="166" fontId="0" fillId="5" borderId="0" xfId="1" applyNumberFormat="1" applyFont="1" applyFill="1" applyAlignment="1">
      <alignment vertical="center" wrapText="1"/>
    </xf>
    <xf numFmtId="165" fontId="4" fillId="5" borderId="0" xfId="0" applyNumberFormat="1" applyFont="1" applyFill="1" applyAlignment="1">
      <alignment vertical="center" wrapText="1"/>
    </xf>
    <xf numFmtId="165" fontId="4" fillId="5" borderId="0" xfId="0" applyNumberFormat="1" applyFont="1" applyFill="1" applyAlignment="1">
      <alignment horizontal="right" vertical="center" wrapText="1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68" fontId="0" fillId="0" borderId="0" xfId="0" applyNumberForma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169" fontId="1" fillId="0" borderId="0" xfId="1" applyNumberFormat="1" applyFont="1" applyFill="1" applyAlignment="1">
      <alignment vertical="center" wrapText="1"/>
    </xf>
    <xf numFmtId="168" fontId="4" fillId="0" borderId="0" xfId="0" applyNumberFormat="1" applyFont="1" applyAlignment="1">
      <alignment horizontal="right" vertical="center" wrapText="1"/>
    </xf>
    <xf numFmtId="168" fontId="4" fillId="0" borderId="0" xfId="0" applyNumberFormat="1" applyFont="1" applyAlignment="1">
      <alignment vertical="center" wrapText="1"/>
    </xf>
    <xf numFmtId="170" fontId="0" fillId="0" borderId="0" xfId="0" applyNumberFormat="1" applyAlignment="1">
      <alignment vertical="center" wrapText="1"/>
    </xf>
    <xf numFmtId="43" fontId="0" fillId="0" borderId="0" xfId="1" applyFont="1" applyFill="1" applyAlignment="1">
      <alignment horizontal="right" vertical="center"/>
    </xf>
    <xf numFmtId="166" fontId="4" fillId="0" borderId="0" xfId="1" applyNumberFormat="1" applyFont="1" applyFill="1" applyAlignment="1">
      <alignment vertical="center" wrapText="1"/>
    </xf>
    <xf numFmtId="166" fontId="0" fillId="0" borderId="0" xfId="1" applyNumberFormat="1" applyFont="1" applyFill="1" applyAlignment="1">
      <alignment vertical="center" wrapText="1"/>
    </xf>
    <xf numFmtId="169" fontId="0" fillId="0" borderId="0" xfId="1" applyNumberFormat="1" applyFont="1" applyFill="1" applyAlignment="1">
      <alignment horizontal="right" vertical="center"/>
    </xf>
    <xf numFmtId="169" fontId="4" fillId="0" borderId="0" xfId="1" applyNumberFormat="1" applyFont="1" applyFill="1" applyAlignment="1">
      <alignment horizontal="right" vertical="center" wrapText="1"/>
    </xf>
    <xf numFmtId="169" fontId="0" fillId="0" borderId="0" xfId="1" applyNumberFormat="1" applyFont="1" applyFill="1" applyAlignment="1">
      <alignment vertical="center" wrapText="1"/>
    </xf>
    <xf numFmtId="166" fontId="4" fillId="0" borderId="0" xfId="1" applyNumberFormat="1" applyFont="1" applyFill="1" applyAlignment="1">
      <alignment horizontal="left" vertical="center" wrapText="1"/>
    </xf>
    <xf numFmtId="166" fontId="0" fillId="0" borderId="0" xfId="1" applyNumberFormat="1" applyFont="1" applyFill="1" applyAlignment="1">
      <alignment horizontal="left" vertical="center" wrapText="1"/>
    </xf>
    <xf numFmtId="9" fontId="5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/>
    </xf>
    <xf numFmtId="170" fontId="0" fillId="0" borderId="0" xfId="0" applyNumberFormat="1"/>
    <xf numFmtId="10" fontId="0" fillId="0" borderId="0" xfId="0" applyNumberFormat="1" applyAlignment="1">
      <alignment horizontal="right"/>
    </xf>
    <xf numFmtId="169" fontId="5" fillId="0" borderId="0" xfId="1" applyNumberFormat="1" applyFont="1" applyFill="1" applyAlignment="1">
      <alignment horizontal="right"/>
    </xf>
    <xf numFmtId="171" fontId="0" fillId="0" borderId="0" xfId="0" applyNumberFormat="1" applyAlignment="1">
      <alignment horizontal="right"/>
    </xf>
    <xf numFmtId="3" fontId="0" fillId="6" borderId="0" xfId="0" applyNumberFormat="1" applyFill="1" applyAlignment="1">
      <alignment horizontal="right" vertical="center"/>
    </xf>
    <xf numFmtId="3" fontId="4" fillId="6" borderId="0" xfId="0" applyNumberFormat="1" applyFont="1" applyFill="1" applyAlignment="1">
      <alignment vertical="center" wrapText="1"/>
    </xf>
    <xf numFmtId="3" fontId="5" fillId="6" borderId="0" xfId="0" applyNumberFormat="1" applyFont="1" applyFill="1" applyAlignment="1">
      <alignment vertical="center" wrapText="1"/>
    </xf>
    <xf numFmtId="3" fontId="4" fillId="6" borderId="0" xfId="0" applyNumberFormat="1" applyFont="1" applyFill="1" applyAlignment="1">
      <alignment horizontal="right" vertical="center" wrapText="1"/>
    </xf>
    <xf numFmtId="3" fontId="0" fillId="6" borderId="0" xfId="0" applyNumberFormat="1" applyFill="1" applyAlignment="1">
      <alignment vertical="center" wrapText="1"/>
    </xf>
    <xf numFmtId="9" fontId="5" fillId="6" borderId="0" xfId="0" applyNumberFormat="1" applyFont="1" applyFill="1" applyAlignment="1">
      <alignment horizontal="right" vertical="center" wrapText="1"/>
    </xf>
    <xf numFmtId="164" fontId="0" fillId="6" borderId="0" xfId="0" applyNumberFormat="1" applyFill="1" applyAlignment="1">
      <alignment horizontal="right" vertical="center" wrapText="1"/>
    </xf>
    <xf numFmtId="10" fontId="0" fillId="6" borderId="0" xfId="0" applyNumberFormat="1" applyFill="1" applyAlignment="1">
      <alignment horizontal="right" vertical="center"/>
    </xf>
    <xf numFmtId="164" fontId="0" fillId="6" borderId="0" xfId="0" applyNumberFormat="1" applyFill="1" applyAlignment="1">
      <alignment horizontal="right" vertical="center"/>
    </xf>
    <xf numFmtId="0" fontId="0" fillId="6" borderId="0" xfId="0" applyFill="1"/>
    <xf numFmtId="0" fontId="4" fillId="6" borderId="0" xfId="0" applyFont="1" applyFill="1" applyAlignment="1">
      <alignment horizontal="right"/>
    </xf>
    <xf numFmtId="4" fontId="0" fillId="6" borderId="0" xfId="0" applyNumberFormat="1" applyFill="1"/>
    <xf numFmtId="10" fontId="0" fillId="6" borderId="0" xfId="0" applyNumberFormat="1" applyFill="1" applyAlignment="1">
      <alignment horizontal="right"/>
    </xf>
    <xf numFmtId="3" fontId="4" fillId="6" borderId="0" xfId="0" applyNumberFormat="1" applyFont="1" applyFill="1" applyAlignment="1">
      <alignment horizontal="right"/>
    </xf>
    <xf numFmtId="165" fontId="0" fillId="5" borderId="0" xfId="0" applyNumberFormat="1" applyFill="1" applyAlignment="1">
      <alignment horizontal="right" vertical="center"/>
    </xf>
    <xf numFmtId="170" fontId="0" fillId="5" borderId="0" xfId="0" applyNumberFormat="1" applyFill="1" applyAlignment="1">
      <alignment horizontal="right" vertical="center"/>
    </xf>
    <xf numFmtId="3" fontId="6" fillId="5" borderId="0" xfId="0" applyNumberFormat="1" applyFont="1" applyFill="1" applyAlignment="1">
      <alignment vertical="center" wrapText="1"/>
    </xf>
    <xf numFmtId="3" fontId="5" fillId="5" borderId="0" xfId="0" applyNumberFormat="1" applyFont="1" applyFill="1" applyAlignment="1">
      <alignment vertical="center" wrapText="1"/>
    </xf>
    <xf numFmtId="3" fontId="6" fillId="5" borderId="0" xfId="0" applyNumberFormat="1" applyFont="1" applyFill="1"/>
    <xf numFmtId="0" fontId="6" fillId="6" borderId="0" xfId="0" applyFont="1" applyFill="1"/>
    <xf numFmtId="0" fontId="6" fillId="6" borderId="0" xfId="0" applyFont="1" applyFill="1" applyAlignment="1">
      <alignment horizontal="right"/>
    </xf>
    <xf numFmtId="3" fontId="0" fillId="6" borderId="0" xfId="0" applyNumberFormat="1" applyFill="1"/>
    <xf numFmtId="3" fontId="5" fillId="6" borderId="0" xfId="0" applyNumberFormat="1" applyFont="1" applyFill="1" applyAlignment="1">
      <alignment horizontal="right"/>
    </xf>
    <xf numFmtId="43" fontId="4" fillId="6" borderId="0" xfId="1" applyFont="1" applyFill="1" applyAlignment="1">
      <alignment vertical="center" wrapText="1"/>
    </xf>
    <xf numFmtId="3" fontId="5" fillId="6" borderId="0" xfId="0" applyNumberFormat="1" applyFont="1" applyFill="1" applyAlignment="1">
      <alignment horizontal="right" vertical="center" wrapText="1"/>
    </xf>
    <xf numFmtId="3" fontId="4" fillId="6" borderId="0" xfId="0" applyNumberFormat="1" applyFont="1" applyFill="1" applyAlignment="1">
      <alignment vertical="center"/>
    </xf>
    <xf numFmtId="3" fontId="0" fillId="6" borderId="0" xfId="0" applyNumberFormat="1" applyFill="1" applyAlignment="1">
      <alignment vertical="center"/>
    </xf>
    <xf numFmtId="3" fontId="4" fillId="6" borderId="0" xfId="0" applyNumberFormat="1" applyFont="1" applyFill="1" applyAlignment="1">
      <alignment horizontal="right" vertical="center"/>
    </xf>
    <xf numFmtId="0" fontId="2" fillId="0" borderId="1" xfId="0" applyFont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deloitte.com\ukvfmroot\A%20&amp;%20A\London\FS\Clients\S\Securitisation\CCE\LENS\04.%20Clients\UKML\2020\IFRS%209%20model%20review\Risk%20Assessment\ECL%20Analysis%20June%202020%20-%20Final%20-%20Risk%20Assessment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gh/AppData/Local/Microsoft/Windows/INetCache/Content.Outlook/H16DOWRL/Pipeline%20File%20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Inputs"/>
      <sheetName val="Originators"/>
      <sheetName val="Stage &amp; Credit Risk Summary"/>
      <sheetName val="Payment Holiday flags"/>
      <sheetName val="Barley Hill June 2020"/>
      <sheetName val="Barley Hill June 2020 - Min"/>
      <sheetName val="Barley Hill June 2020 - Max"/>
      <sheetName val="Cornhill No. 5 June 2020"/>
      <sheetName val="Cornhill No. 5 June 2020 - Min"/>
      <sheetName val="Cornhill No. 5 June 2020 -  Max"/>
      <sheetName val="Oat Hill No. 1 June 2020"/>
      <sheetName val="Oat Hill No. 1 June 2020 - Min"/>
      <sheetName val="Oat Hill No. 1 June 2020 - Max"/>
      <sheetName val="Cornhill No. 6 June 2020"/>
      <sheetName val="Cornhill No. 6 June 2020 - Min"/>
      <sheetName val="Cornhill No. 6 June 2020 - Max"/>
      <sheetName val="Malt Hill No. 2 June 2020"/>
      <sheetName val="Malt Hill No. 2 June 2020 - Min"/>
      <sheetName val="Malt Hill No. 2 June 2020 - Max"/>
      <sheetName val="Cornhill No. 4 June 2020"/>
      <sheetName val="Cornhill No. 4 June 2020 - Min"/>
      <sheetName val="Cornhill No. 4 June 2020 - Max"/>
      <sheetName val="DTV distribution June 2020"/>
      <sheetName val="DTV distribution June 2020 -CM"/>
      <sheetName val="Sheet3"/>
      <sheetName val="Barley Hill June 2020 - CRA"/>
      <sheetName val="Cornhill No. 5 June 2020 - CRA"/>
      <sheetName val="Oat Hill No. 1 June 2020 - CRA"/>
      <sheetName val="Cornhill No. 6 June 2020 - CRA"/>
      <sheetName val="Malt Hill No. 2 June 2020 - CRA"/>
      <sheetName val="Cornhill No. 4 June 2020 - CRA"/>
    </sheetNames>
    <sheetDataSet>
      <sheetData sheetId="0"/>
      <sheetData sheetId="1">
        <row r="25">
          <cell r="K25">
            <v>0</v>
          </cell>
          <cell r="L25">
            <v>0.5</v>
          </cell>
          <cell r="M25">
            <v>0.75</v>
          </cell>
        </row>
        <row r="26">
          <cell r="K26">
            <v>0.5</v>
          </cell>
          <cell r="L26">
            <v>0.75</v>
          </cell>
          <cell r="M26">
            <v>0.875</v>
          </cell>
        </row>
        <row r="27">
          <cell r="K27">
            <v>0.75</v>
          </cell>
          <cell r="L27">
            <v>0.8</v>
          </cell>
          <cell r="M27">
            <v>1</v>
          </cell>
        </row>
        <row r="28">
          <cell r="K28">
            <v>0.8</v>
          </cell>
          <cell r="L28">
            <v>0.85</v>
          </cell>
          <cell r="M28">
            <v>1.125</v>
          </cell>
        </row>
        <row r="29">
          <cell r="K29">
            <v>0.85</v>
          </cell>
          <cell r="L29">
            <v>0.9</v>
          </cell>
          <cell r="M29">
            <v>1.25</v>
          </cell>
        </row>
        <row r="30">
          <cell r="K30">
            <v>0.9</v>
          </cell>
          <cell r="L30">
            <v>0.95</v>
          </cell>
          <cell r="M30">
            <v>1.375</v>
          </cell>
        </row>
        <row r="31">
          <cell r="K31">
            <v>0.95</v>
          </cell>
          <cell r="L31" t="str">
            <v>+</v>
          </cell>
          <cell r="M31">
            <v>1.5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Flow"/>
      <sheetName val="Pipeline Draft"/>
      <sheetName val="Pivot- Calcs"/>
      <sheetName val="Buffer- Pivots"/>
      <sheetName val="Calculations"/>
    </sheetNames>
    <sheetDataSet>
      <sheetData sheetId="0">
        <row r="12">
          <cell r="G12">
            <v>28</v>
          </cell>
          <cell r="H12">
            <v>42</v>
          </cell>
        </row>
        <row r="14">
          <cell r="H14">
            <v>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3924-6FD0-4DAC-BEE9-452DD53FC387}">
  <dimension ref="A1:GO26"/>
  <sheetViews>
    <sheetView tabSelected="1" zoomScale="70" zoomScaleNormal="70" workbookViewId="0">
      <pane xSplit="1" ySplit="6" topLeftCell="B7" activePane="bottomRight" state="frozen"/>
      <selection activeCell="Q6" sqref="Q6"/>
      <selection pane="topRight" activeCell="Q6" sqref="Q6"/>
      <selection pane="bottomLeft" activeCell="Q6" sqref="Q6"/>
      <selection pane="bottomRight" activeCell="A7" sqref="A7:A26"/>
    </sheetView>
  </sheetViews>
  <sheetFormatPr defaultColWidth="8.7109375" defaultRowHeight="15" x14ac:dyDescent="0.25"/>
  <cols>
    <col min="1" max="1" width="34.7109375" bestFit="1" customWidth="1"/>
    <col min="2" max="2" width="1.7109375" customWidth="1"/>
    <col min="3" max="9" width="8.7109375" style="9" customWidth="1"/>
    <col min="10" max="10" width="1.7109375" style="9" customWidth="1"/>
    <col min="11" max="17" width="8.7109375" style="9" customWidth="1"/>
    <col min="18" max="18" width="1.7109375" style="9" customWidth="1"/>
    <col min="19" max="25" width="8.7109375" style="11" customWidth="1"/>
    <col min="26" max="26" width="2" style="11" customWidth="1"/>
    <col min="27" max="33" width="8.7109375" style="11" customWidth="1"/>
    <col min="34" max="34" width="1.7109375" style="11" customWidth="1"/>
    <col min="35" max="41" width="8.7109375" style="11" customWidth="1"/>
    <col min="42" max="42" width="1.7109375" style="11" customWidth="1"/>
    <col min="43" max="49" width="8.7109375" style="11" customWidth="1"/>
    <col min="50" max="50" width="1.7109375" style="11" customWidth="1"/>
    <col min="51" max="57" width="8.7109375" style="11" customWidth="1"/>
    <col min="58" max="58" width="1.7109375" style="11" customWidth="1"/>
    <col min="59" max="62" width="8.7109375" style="11" customWidth="1"/>
    <col min="63" max="63" width="8.7109375" style="9" customWidth="1"/>
    <col min="64" max="64" width="1.7109375" style="9" customWidth="1"/>
    <col min="65" max="68" width="8.7109375" style="11" customWidth="1"/>
    <col min="69" max="69" width="8.7109375" style="9" customWidth="1"/>
    <col min="70" max="70" width="1.7109375" style="9" customWidth="1"/>
    <col min="71" max="72" width="8.7109375" style="11" customWidth="1"/>
    <col min="73" max="74" width="8.7109375" style="9" customWidth="1"/>
    <col min="75" max="77" width="8.7109375" style="11" customWidth="1"/>
    <col min="78" max="78" width="1.7109375" style="9" customWidth="1"/>
    <col min="79" max="85" width="8.7109375" style="11" customWidth="1"/>
    <col min="86" max="86" width="1.7109375" style="11" customWidth="1"/>
    <col min="87" max="93" width="8.7109375" style="11" customWidth="1"/>
    <col min="94" max="94" width="1.7109375" style="11" customWidth="1"/>
    <col min="95" max="101" width="8.7109375" style="11" customWidth="1"/>
    <col min="102" max="102" width="1.7109375" style="11" customWidth="1"/>
    <col min="103" max="109" width="8.7109375" style="11" customWidth="1"/>
    <col min="110" max="110" width="13.7109375" style="11" customWidth="1"/>
    <col min="111" max="114" width="8.7109375" style="11" customWidth="1"/>
    <col min="115" max="115" width="1.7109375" style="11" customWidth="1"/>
    <col min="116" max="118" width="8.7109375" style="11" customWidth="1"/>
    <col min="119" max="121" width="15" style="11" customWidth="1"/>
    <col min="122" max="124" width="8.7109375" style="11" customWidth="1"/>
    <col min="125" max="125" width="1.7109375" style="11" customWidth="1"/>
    <col min="126" max="129" width="8.7109375" style="11" customWidth="1"/>
    <col min="130" max="130" width="1.7109375" style="11" customWidth="1"/>
    <col min="131" max="134" width="8.7109375" style="11" customWidth="1"/>
    <col min="135" max="135" width="1.7109375" style="11" customWidth="1"/>
    <col min="136" max="140" width="8.7109375" style="11" customWidth="1"/>
    <col min="141" max="141" width="1.7109375" style="11" customWidth="1"/>
    <col min="142" max="146" width="8.7109375" style="9" customWidth="1"/>
    <col min="147" max="147" width="1.7109375" style="9" customWidth="1"/>
    <col min="148" max="152" width="8.7109375" style="11" customWidth="1"/>
    <col min="153" max="153" width="1.7109375" style="11" customWidth="1"/>
    <col min="154" max="154" width="8.7109375" style="11" customWidth="1"/>
    <col min="155" max="158" width="8.7109375" style="12" customWidth="1"/>
    <col min="159" max="159" width="1.7109375" style="11" customWidth="1"/>
    <col min="160" max="160" width="8.7109375" style="11" customWidth="1"/>
    <col min="161" max="164" width="8.7109375" style="12" customWidth="1"/>
    <col min="165" max="165" width="1.7109375" style="11" customWidth="1"/>
    <col min="166" max="166" width="8.7109375" style="11" customWidth="1"/>
    <col min="167" max="170" width="8.7109375" style="12" customWidth="1"/>
    <col min="171" max="171" width="1.7109375" customWidth="1"/>
    <col min="172" max="175" width="8.7109375" customWidth="1"/>
    <col min="176" max="176" width="8.7109375" style="13" customWidth="1"/>
    <col min="177" max="177" width="1.7109375" customWidth="1"/>
    <col min="178" max="182" width="8.7109375" customWidth="1"/>
    <col min="183" max="183" width="1.7109375" customWidth="1"/>
    <col min="184" max="188" width="8.7109375" customWidth="1"/>
    <col min="189" max="189" width="1.7109375" customWidth="1"/>
    <col min="190" max="193" width="8.7109375" customWidth="1"/>
    <col min="194" max="194" width="11.7109375" customWidth="1"/>
    <col min="195" max="195" width="8.7109375" customWidth="1"/>
    <col min="196" max="196" width="16.85546875" customWidth="1"/>
    <col min="197" max="197" width="15.28515625" customWidth="1"/>
  </cols>
  <sheetData>
    <row r="1" spans="1:197" ht="18.75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5"/>
      <c r="BL1" s="5"/>
      <c r="BM1" s="4"/>
      <c r="BN1" s="4"/>
      <c r="BO1" s="4"/>
      <c r="BP1" s="4"/>
      <c r="BQ1" s="5"/>
      <c r="BR1" s="5"/>
      <c r="BS1" s="4"/>
      <c r="BT1" s="4"/>
      <c r="BU1" s="5"/>
      <c r="BV1" s="5"/>
      <c r="BW1" s="4"/>
      <c r="BX1" s="4"/>
      <c r="BY1" s="4"/>
      <c r="BZ1" s="5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5"/>
      <c r="EM1" s="5"/>
      <c r="EN1" s="5"/>
      <c r="EO1" s="5"/>
      <c r="EP1" s="5"/>
      <c r="EQ1" s="5"/>
      <c r="ER1" s="4"/>
      <c r="ES1" s="4"/>
      <c r="ET1" s="4"/>
      <c r="EU1" s="4"/>
      <c r="EV1" s="4"/>
      <c r="EW1" s="4"/>
      <c r="EX1" s="4"/>
      <c r="EY1" s="6"/>
      <c r="EZ1" s="6"/>
      <c r="FA1" s="6"/>
      <c r="FB1" s="6"/>
      <c r="FC1" s="4"/>
      <c r="FD1" s="4"/>
      <c r="FE1" s="6"/>
      <c r="FF1" s="6"/>
      <c r="FG1" s="6"/>
      <c r="FH1" s="6"/>
      <c r="FI1" s="4"/>
      <c r="FJ1" s="4"/>
      <c r="FK1" s="6"/>
      <c r="FL1" s="6"/>
      <c r="FM1" s="6"/>
      <c r="FN1" s="6"/>
      <c r="FO1" s="7"/>
      <c r="FP1" s="7"/>
      <c r="FQ1" s="7"/>
      <c r="FR1" s="7"/>
      <c r="FS1" s="7"/>
      <c r="FT1" s="8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</row>
    <row r="2" spans="1:197" x14ac:dyDescent="0.25">
      <c r="K2" s="10">
        <f>Q8-15-344.8</f>
        <v>139.005</v>
      </c>
      <c r="L2" s="9">
        <f>677-139</f>
        <v>538</v>
      </c>
      <c r="M2" s="9" t="e">
        <f>L2-#REF!</f>
        <v>#REF!</v>
      </c>
      <c r="FT2" s="13">
        <f>1291-1312</f>
        <v>-21</v>
      </c>
    </row>
    <row r="3" spans="1:197" x14ac:dyDescent="0.25">
      <c r="A3" t="s">
        <v>1</v>
      </c>
      <c r="B3" t="s">
        <v>2</v>
      </c>
      <c r="C3" s="137" t="s">
        <v>3</v>
      </c>
      <c r="D3" s="137" t="s">
        <v>4</v>
      </c>
      <c r="E3" s="137" t="s">
        <v>5</v>
      </c>
      <c r="F3" s="137" t="s">
        <v>6</v>
      </c>
      <c r="G3" s="137" t="s">
        <v>7</v>
      </c>
      <c r="H3" s="137" t="s">
        <v>8</v>
      </c>
      <c r="I3" s="137" t="s">
        <v>9</v>
      </c>
      <c r="J3" s="137" t="s">
        <v>10</v>
      </c>
      <c r="K3" s="137" t="s">
        <v>11</v>
      </c>
      <c r="L3" s="137" t="s">
        <v>12</v>
      </c>
      <c r="M3" s="137" t="s">
        <v>13</v>
      </c>
      <c r="N3" s="137" t="s">
        <v>14</v>
      </c>
      <c r="O3" s="137" t="s">
        <v>15</v>
      </c>
      <c r="P3" s="137" t="s">
        <v>16</v>
      </c>
      <c r="Q3" s="137" t="s">
        <v>17</v>
      </c>
      <c r="R3" s="137" t="s">
        <v>18</v>
      </c>
      <c r="S3" s="137" t="s">
        <v>19</v>
      </c>
      <c r="T3" s="137" t="s">
        <v>20</v>
      </c>
      <c r="U3" s="137" t="s">
        <v>21</v>
      </c>
      <c r="V3" s="137" t="s">
        <v>22</v>
      </c>
      <c r="W3" s="137" t="s">
        <v>23</v>
      </c>
      <c r="X3" s="137" t="s">
        <v>24</v>
      </c>
      <c r="Y3" s="137" t="s">
        <v>25</v>
      </c>
      <c r="Z3" s="137" t="s">
        <v>26</v>
      </c>
      <c r="AA3" s="137" t="s">
        <v>27</v>
      </c>
      <c r="AB3" s="137" t="s">
        <v>28</v>
      </c>
      <c r="AC3" s="137" t="s">
        <v>29</v>
      </c>
      <c r="AD3" s="137" t="s">
        <v>30</v>
      </c>
      <c r="AE3" s="137" t="s">
        <v>31</v>
      </c>
      <c r="AF3" s="137" t="s">
        <v>32</v>
      </c>
      <c r="AG3" s="137" t="s">
        <v>33</v>
      </c>
      <c r="AH3" s="137" t="s">
        <v>34</v>
      </c>
      <c r="AI3" s="137" t="s">
        <v>35</v>
      </c>
      <c r="AJ3" s="137" t="s">
        <v>36</v>
      </c>
      <c r="AK3" s="137" t="s">
        <v>37</v>
      </c>
      <c r="AL3" s="137" t="s">
        <v>38</v>
      </c>
      <c r="AM3" s="137" t="s">
        <v>39</v>
      </c>
      <c r="AN3" s="137" t="s">
        <v>40</v>
      </c>
      <c r="AO3" s="137" t="s">
        <v>41</v>
      </c>
      <c r="AP3" s="137" t="s">
        <v>42</v>
      </c>
      <c r="AQ3" s="137" t="s">
        <v>43</v>
      </c>
      <c r="AR3" s="137" t="s">
        <v>44</v>
      </c>
      <c r="AS3" s="137" t="s">
        <v>45</v>
      </c>
      <c r="AT3" s="137" t="s">
        <v>46</v>
      </c>
      <c r="AU3" s="137" t="s">
        <v>47</v>
      </c>
      <c r="AV3" s="137" t="s">
        <v>48</v>
      </c>
      <c r="AW3" s="137" t="s">
        <v>49</v>
      </c>
      <c r="AX3" s="137" t="s">
        <v>50</v>
      </c>
      <c r="AY3" s="137" t="s">
        <v>51</v>
      </c>
      <c r="AZ3" s="137" t="s">
        <v>52</v>
      </c>
      <c r="BA3" s="137" t="s">
        <v>53</v>
      </c>
      <c r="BB3" s="137" t="s">
        <v>54</v>
      </c>
      <c r="BC3" s="137" t="s">
        <v>55</v>
      </c>
      <c r="BD3" s="137" t="s">
        <v>56</v>
      </c>
      <c r="BE3" s="137" t="s">
        <v>57</v>
      </c>
      <c r="BF3" s="137" t="s">
        <v>58</v>
      </c>
      <c r="BG3" s="137" t="s">
        <v>59</v>
      </c>
      <c r="BH3" s="137" t="s">
        <v>60</v>
      </c>
      <c r="BI3" s="137" t="s">
        <v>61</v>
      </c>
      <c r="BJ3" s="137" t="s">
        <v>62</v>
      </c>
      <c r="BK3" s="137" t="s">
        <v>63</v>
      </c>
      <c r="BL3" s="137" t="s">
        <v>64</v>
      </c>
      <c r="BM3" s="137" t="s">
        <v>65</v>
      </c>
      <c r="BN3" s="137" t="s">
        <v>66</v>
      </c>
      <c r="BO3" s="137" t="s">
        <v>67</v>
      </c>
      <c r="BP3" s="137" t="s">
        <v>68</v>
      </c>
      <c r="BQ3" s="137" t="s">
        <v>69</v>
      </c>
      <c r="BR3" s="137" t="s">
        <v>70</v>
      </c>
      <c r="BS3" s="137" t="s">
        <v>71</v>
      </c>
      <c r="BT3" s="137" t="s">
        <v>72</v>
      </c>
      <c r="BU3" s="137" t="s">
        <v>73</v>
      </c>
      <c r="BV3" s="137" t="s">
        <v>74</v>
      </c>
      <c r="BW3" s="137" t="s">
        <v>75</v>
      </c>
      <c r="BX3" s="137" t="s">
        <v>76</v>
      </c>
      <c r="BY3" s="137" t="s">
        <v>77</v>
      </c>
      <c r="BZ3" s="137" t="s">
        <v>78</v>
      </c>
      <c r="CA3" s="137" t="s">
        <v>79</v>
      </c>
      <c r="CB3" s="137" t="s">
        <v>80</v>
      </c>
      <c r="CC3" s="137" t="s">
        <v>81</v>
      </c>
      <c r="CD3" s="137" t="s">
        <v>82</v>
      </c>
      <c r="CE3" s="137" t="s">
        <v>83</v>
      </c>
      <c r="CF3" s="137" t="s">
        <v>84</v>
      </c>
      <c r="CG3" s="137" t="s">
        <v>85</v>
      </c>
      <c r="CH3" s="137" t="s">
        <v>86</v>
      </c>
      <c r="CI3" s="137" t="s">
        <v>87</v>
      </c>
      <c r="CJ3" s="137" t="s">
        <v>88</v>
      </c>
      <c r="CK3" s="137" t="s">
        <v>89</v>
      </c>
      <c r="CL3" s="137" t="s">
        <v>90</v>
      </c>
      <c r="CM3" s="137" t="s">
        <v>91</v>
      </c>
      <c r="CN3" s="137" t="s">
        <v>92</v>
      </c>
      <c r="CO3" s="137" t="s">
        <v>93</v>
      </c>
      <c r="CP3" s="137" t="s">
        <v>94</v>
      </c>
      <c r="CQ3" s="137" t="s">
        <v>95</v>
      </c>
      <c r="CR3" s="137" t="s">
        <v>96</v>
      </c>
      <c r="CS3" s="137" t="s">
        <v>97</v>
      </c>
      <c r="CT3" s="137" t="s">
        <v>98</v>
      </c>
      <c r="CU3" s="137" t="s">
        <v>99</v>
      </c>
      <c r="CV3" s="137" t="s">
        <v>100</v>
      </c>
      <c r="CW3" s="137" t="s">
        <v>101</v>
      </c>
      <c r="CX3" s="137" t="s">
        <v>102</v>
      </c>
      <c r="CY3" s="137" t="s">
        <v>103</v>
      </c>
      <c r="CZ3" s="137" t="s">
        <v>104</v>
      </c>
      <c r="DA3" s="137" t="s">
        <v>105</v>
      </c>
      <c r="DB3" s="137" t="s">
        <v>106</v>
      </c>
      <c r="DC3" s="137" t="s">
        <v>107</v>
      </c>
      <c r="DD3" s="137" t="s">
        <v>108</v>
      </c>
      <c r="DE3" s="137" t="s">
        <v>109</v>
      </c>
      <c r="DF3" s="137" t="s">
        <v>110</v>
      </c>
      <c r="DG3" s="137" t="s">
        <v>111</v>
      </c>
      <c r="DH3" s="137" t="s">
        <v>112</v>
      </c>
      <c r="DI3" s="137" t="s">
        <v>113</v>
      </c>
      <c r="DJ3" s="137" t="s">
        <v>114</v>
      </c>
      <c r="DK3" s="137" t="s">
        <v>115</v>
      </c>
      <c r="DL3" s="137" t="s">
        <v>116</v>
      </c>
      <c r="DM3" s="137" t="s">
        <v>117</v>
      </c>
      <c r="DN3" s="137" t="s">
        <v>118</v>
      </c>
      <c r="DO3" s="137" t="s">
        <v>119</v>
      </c>
      <c r="DP3" s="137" t="s">
        <v>120</v>
      </c>
      <c r="DQ3" s="137" t="s">
        <v>121</v>
      </c>
      <c r="DR3" s="137" t="s">
        <v>122</v>
      </c>
      <c r="DS3" s="137" t="s">
        <v>123</v>
      </c>
      <c r="DT3" s="137" t="s">
        <v>124</v>
      </c>
      <c r="DU3" s="137" t="s">
        <v>125</v>
      </c>
      <c r="DV3" s="137" t="s">
        <v>126</v>
      </c>
      <c r="DW3" s="137" t="s">
        <v>127</v>
      </c>
      <c r="DX3" s="137" t="s">
        <v>128</v>
      </c>
      <c r="DY3" s="137" t="s">
        <v>129</v>
      </c>
      <c r="DZ3" s="137" t="s">
        <v>130</v>
      </c>
      <c r="EA3" s="137" t="s">
        <v>131</v>
      </c>
      <c r="EB3" s="137" t="s">
        <v>132</v>
      </c>
      <c r="EC3" s="137" t="s">
        <v>133</v>
      </c>
      <c r="ED3" s="137" t="s">
        <v>134</v>
      </c>
      <c r="EE3" s="137" t="s">
        <v>135</v>
      </c>
      <c r="EF3" s="137" t="s">
        <v>136</v>
      </c>
      <c r="EG3" s="137" t="s">
        <v>137</v>
      </c>
      <c r="EH3" s="137" t="s">
        <v>138</v>
      </c>
      <c r="EI3" s="137" t="s">
        <v>139</v>
      </c>
      <c r="EJ3" s="137" t="s">
        <v>140</v>
      </c>
      <c r="EK3" s="137" t="s">
        <v>141</v>
      </c>
      <c r="EL3" s="137" t="s">
        <v>142</v>
      </c>
      <c r="EM3" s="137" t="s">
        <v>143</v>
      </c>
      <c r="EN3" s="137" t="s">
        <v>144</v>
      </c>
      <c r="EO3" s="137" t="s">
        <v>145</v>
      </c>
      <c r="EP3" s="137" t="s">
        <v>146</v>
      </c>
      <c r="EQ3" s="137" t="s">
        <v>147</v>
      </c>
      <c r="ER3" s="137" t="s">
        <v>148</v>
      </c>
      <c r="ES3" s="137" t="s">
        <v>149</v>
      </c>
      <c r="ET3" s="137" t="s">
        <v>150</v>
      </c>
      <c r="EU3" s="137" t="s">
        <v>151</v>
      </c>
      <c r="EV3" s="137" t="s">
        <v>152</v>
      </c>
      <c r="EW3" s="137" t="s">
        <v>153</v>
      </c>
      <c r="EX3" s="137" t="s">
        <v>154</v>
      </c>
      <c r="EY3" s="137" t="s">
        <v>155</v>
      </c>
      <c r="EZ3" s="137" t="s">
        <v>156</v>
      </c>
      <c r="FA3" s="137" t="s">
        <v>157</v>
      </c>
      <c r="FB3" s="137" t="s">
        <v>158</v>
      </c>
      <c r="FC3" s="137" t="s">
        <v>159</v>
      </c>
      <c r="FD3" s="137" t="s">
        <v>160</v>
      </c>
      <c r="FE3" s="137" t="s">
        <v>161</v>
      </c>
      <c r="FF3" s="137" t="s">
        <v>162</v>
      </c>
      <c r="FG3" s="137" t="s">
        <v>163</v>
      </c>
      <c r="FH3" s="137" t="s">
        <v>164</v>
      </c>
      <c r="FI3" s="137" t="s">
        <v>165</v>
      </c>
      <c r="FJ3" s="137" t="s">
        <v>166</v>
      </c>
      <c r="FK3" s="137" t="s">
        <v>167</v>
      </c>
      <c r="FL3" s="137" t="s">
        <v>168</v>
      </c>
      <c r="FM3" s="137" t="s">
        <v>169</v>
      </c>
      <c r="FN3" s="137" t="s">
        <v>170</v>
      </c>
      <c r="FO3" s="137" t="s">
        <v>171</v>
      </c>
      <c r="FP3" s="137" t="s">
        <v>172</v>
      </c>
      <c r="FQ3" s="137" t="s">
        <v>173</v>
      </c>
      <c r="FR3" s="137" t="s">
        <v>174</v>
      </c>
      <c r="FS3" s="137" t="s">
        <v>175</v>
      </c>
      <c r="FT3" s="137" t="s">
        <v>176</v>
      </c>
      <c r="FU3" s="137" t="s">
        <v>177</v>
      </c>
      <c r="FV3" s="137" t="s">
        <v>178</v>
      </c>
      <c r="FW3" s="137" t="s">
        <v>179</v>
      </c>
      <c r="FX3" s="137" t="s">
        <v>180</v>
      </c>
      <c r="FY3" s="137" t="s">
        <v>181</v>
      </c>
      <c r="FZ3" s="137" t="s">
        <v>182</v>
      </c>
      <c r="GA3" s="137" t="s">
        <v>183</v>
      </c>
      <c r="GB3" s="137" t="s">
        <v>184</v>
      </c>
      <c r="GC3" s="137" t="s">
        <v>185</v>
      </c>
      <c r="GD3" s="137" t="s">
        <v>186</v>
      </c>
      <c r="GE3" s="137" t="s">
        <v>187</v>
      </c>
      <c r="GF3" s="137" t="s">
        <v>188</v>
      </c>
      <c r="GG3" s="137" t="s">
        <v>189</v>
      </c>
      <c r="GH3" s="137" t="s">
        <v>190</v>
      </c>
      <c r="GI3" s="137" t="s">
        <v>191</v>
      </c>
      <c r="GJ3" s="137" t="s">
        <v>192</v>
      </c>
      <c r="GK3" s="137" t="s">
        <v>193</v>
      </c>
      <c r="GL3" s="137" t="s">
        <v>194</v>
      </c>
    </row>
    <row r="4" spans="1:197" x14ac:dyDescent="0.25">
      <c r="A4" s="14" t="s">
        <v>195</v>
      </c>
      <c r="C4" s="15" t="s">
        <v>196</v>
      </c>
      <c r="D4" s="15"/>
      <c r="E4" s="15"/>
      <c r="F4" s="15"/>
      <c r="G4" s="15"/>
      <c r="H4" s="15"/>
      <c r="I4" s="15"/>
      <c r="J4" s="15"/>
      <c r="K4" s="15" t="s">
        <v>240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38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6"/>
      <c r="BG4" s="15" t="s">
        <v>197</v>
      </c>
      <c r="BH4" s="15"/>
      <c r="BI4" s="15"/>
      <c r="BJ4" s="15"/>
      <c r="BK4" s="15"/>
      <c r="BL4" s="15"/>
      <c r="BM4" s="15" t="s">
        <v>197</v>
      </c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6"/>
      <c r="DG4" s="15" t="s">
        <v>198</v>
      </c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6"/>
      <c r="EF4" s="15" t="s">
        <v>199</v>
      </c>
      <c r="EG4" s="15"/>
      <c r="EH4" s="15"/>
      <c r="EI4" s="15"/>
      <c r="EJ4" s="15"/>
      <c r="EK4" s="16"/>
      <c r="EL4" s="15" t="s">
        <v>200</v>
      </c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7"/>
      <c r="EZ4" s="17"/>
      <c r="FA4" s="17"/>
      <c r="FB4" s="17"/>
      <c r="FC4" s="15"/>
      <c r="FD4" s="15"/>
      <c r="FE4" s="17"/>
      <c r="FF4" s="17"/>
      <c r="FG4" s="17"/>
      <c r="FH4" s="17"/>
      <c r="FI4" s="15"/>
      <c r="FJ4" s="15"/>
      <c r="FK4" s="17"/>
      <c r="FL4" s="17"/>
      <c r="FM4" s="17"/>
      <c r="FN4" s="17"/>
      <c r="FP4" s="15" t="s">
        <v>201</v>
      </c>
      <c r="FQ4" s="15"/>
      <c r="FR4" s="15"/>
      <c r="FS4" s="15"/>
      <c r="FT4" s="18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N4" s="140" t="s">
        <v>202</v>
      </c>
      <c r="GO4" s="140" t="s">
        <v>203</v>
      </c>
    </row>
    <row r="5" spans="1:197" x14ac:dyDescent="0.25">
      <c r="C5" s="19" t="s">
        <v>204</v>
      </c>
      <c r="D5" s="19"/>
      <c r="E5" s="19"/>
      <c r="F5" s="19"/>
      <c r="G5" s="19"/>
      <c r="H5" s="19"/>
      <c r="I5" s="19"/>
      <c r="J5" s="20"/>
      <c r="K5" s="19" t="s">
        <v>241</v>
      </c>
      <c r="L5" s="19"/>
      <c r="M5" s="19"/>
      <c r="N5" s="19"/>
      <c r="O5" s="19"/>
      <c r="P5" s="19"/>
      <c r="Q5" s="19"/>
      <c r="R5" s="20"/>
      <c r="S5" s="19" t="s">
        <v>205</v>
      </c>
      <c r="T5" s="19"/>
      <c r="U5" s="19"/>
      <c r="V5" s="19"/>
      <c r="W5" s="19"/>
      <c r="X5" s="19"/>
      <c r="Y5" s="19"/>
      <c r="Z5" s="139"/>
      <c r="AA5" s="19" t="s">
        <v>206</v>
      </c>
      <c r="AB5" s="19"/>
      <c r="AC5" s="19"/>
      <c r="AD5" s="19"/>
      <c r="AE5" s="19"/>
      <c r="AF5" s="19"/>
      <c r="AG5" s="19"/>
      <c r="AH5" s="20"/>
      <c r="AI5" s="19" t="s">
        <v>207</v>
      </c>
      <c r="AJ5" s="19"/>
      <c r="AK5" s="19"/>
      <c r="AL5" s="19"/>
      <c r="AM5" s="19"/>
      <c r="AN5" s="19"/>
      <c r="AO5" s="19"/>
      <c r="AP5" s="20"/>
      <c r="AQ5" s="19" t="s">
        <v>208</v>
      </c>
      <c r="AR5" s="19"/>
      <c r="AS5" s="19"/>
      <c r="AT5" s="19"/>
      <c r="AU5" s="19"/>
      <c r="AV5" s="19"/>
      <c r="AW5" s="19"/>
      <c r="AX5" s="20"/>
      <c r="AY5" s="19" t="s">
        <v>209</v>
      </c>
      <c r="AZ5" s="19"/>
      <c r="BA5" s="19"/>
      <c r="BB5" s="19"/>
      <c r="BC5" s="19"/>
      <c r="BD5" s="19"/>
      <c r="BE5" s="19"/>
      <c r="BF5" s="20"/>
      <c r="BG5" s="19" t="s">
        <v>210</v>
      </c>
      <c r="BH5" s="19"/>
      <c r="BI5" s="19"/>
      <c r="BJ5" s="19"/>
      <c r="BK5" s="19"/>
      <c r="BL5" s="20"/>
      <c r="BM5" s="19" t="s">
        <v>211</v>
      </c>
      <c r="BN5" s="19"/>
      <c r="BO5" s="19"/>
      <c r="BP5" s="19"/>
      <c r="BQ5" s="19"/>
      <c r="BR5" s="20"/>
      <c r="BS5" s="142" t="s">
        <v>205</v>
      </c>
      <c r="BT5" s="143"/>
      <c r="BU5" s="143"/>
      <c r="BV5" s="143"/>
      <c r="BW5" s="143"/>
      <c r="BX5" s="143"/>
      <c r="BY5" s="143"/>
      <c r="BZ5" s="143"/>
      <c r="CA5" s="19" t="s">
        <v>206</v>
      </c>
      <c r="CB5" s="19"/>
      <c r="CC5" s="19"/>
      <c r="CD5" s="19"/>
      <c r="CE5" s="19"/>
      <c r="CF5" s="19"/>
      <c r="CG5" s="19"/>
      <c r="CH5" s="20"/>
      <c r="CI5" s="19" t="s">
        <v>207</v>
      </c>
      <c r="CJ5" s="19"/>
      <c r="CK5" s="19"/>
      <c r="CL5" s="19"/>
      <c r="CM5" s="19"/>
      <c r="CN5" s="19"/>
      <c r="CO5" s="19"/>
      <c r="CP5" s="20"/>
      <c r="CQ5" s="19" t="s">
        <v>208</v>
      </c>
      <c r="CR5" s="19"/>
      <c r="CS5" s="19"/>
      <c r="CT5" s="19"/>
      <c r="CU5" s="19"/>
      <c r="CV5" s="19"/>
      <c r="CW5" s="19"/>
      <c r="CX5" s="20"/>
      <c r="CY5" s="19" t="s">
        <v>209</v>
      </c>
      <c r="CZ5" s="19"/>
      <c r="DA5" s="19"/>
      <c r="DB5" s="19"/>
      <c r="DC5" s="19"/>
      <c r="DD5" s="19"/>
      <c r="DE5" s="19"/>
      <c r="DF5" s="20"/>
      <c r="DG5" s="19" t="s">
        <v>211</v>
      </c>
      <c r="DH5" s="19"/>
      <c r="DI5" s="19"/>
      <c r="DJ5" s="19"/>
      <c r="DK5" s="16"/>
      <c r="DL5" s="19" t="s">
        <v>205</v>
      </c>
      <c r="DM5" s="19"/>
      <c r="DN5" s="19"/>
      <c r="DO5" s="19"/>
      <c r="DP5" s="16"/>
      <c r="DQ5" s="19" t="s">
        <v>206</v>
      </c>
      <c r="DR5" s="19"/>
      <c r="DS5" s="19"/>
      <c r="DT5" s="19"/>
      <c r="DU5" s="20"/>
      <c r="DV5" s="19" t="s">
        <v>207</v>
      </c>
      <c r="DW5" s="19"/>
      <c r="DX5" s="19"/>
      <c r="DY5" s="19"/>
      <c r="DZ5" s="20"/>
      <c r="EA5" s="19" t="s">
        <v>208</v>
      </c>
      <c r="EB5" s="19"/>
      <c r="EC5" s="19"/>
      <c r="ED5" s="19"/>
      <c r="EE5" s="20"/>
      <c r="EF5" s="19" t="s">
        <v>212</v>
      </c>
      <c r="EG5" s="19"/>
      <c r="EH5" s="19"/>
      <c r="EI5" s="19"/>
      <c r="EJ5" s="19"/>
      <c r="EK5" s="20"/>
      <c r="EL5" s="19" t="s">
        <v>211</v>
      </c>
      <c r="EM5" s="19"/>
      <c r="EN5" s="19"/>
      <c r="EO5" s="19"/>
      <c r="EP5" s="21"/>
      <c r="EQ5" s="20"/>
      <c r="ER5" s="19" t="s">
        <v>205</v>
      </c>
      <c r="ES5" s="19"/>
      <c r="ET5" s="19"/>
      <c r="EU5" s="19"/>
      <c r="EV5" s="21"/>
      <c r="EW5" s="16"/>
      <c r="EX5" s="19" t="s">
        <v>206</v>
      </c>
      <c r="EY5" s="22"/>
      <c r="EZ5" s="22"/>
      <c r="FA5" s="22"/>
      <c r="FB5" s="22"/>
      <c r="FC5" s="20"/>
      <c r="FD5" s="19" t="s">
        <v>207</v>
      </c>
      <c r="FE5" s="22"/>
      <c r="FF5" s="22"/>
      <c r="FG5" s="22"/>
      <c r="FH5" s="22"/>
      <c r="FI5" s="20"/>
      <c r="FJ5" s="19" t="s">
        <v>208</v>
      </c>
      <c r="FK5" s="22"/>
      <c r="FL5" s="22"/>
      <c r="FM5" s="22"/>
      <c r="FN5" s="22"/>
      <c r="FP5" s="19" t="s">
        <v>213</v>
      </c>
      <c r="FQ5" s="19"/>
      <c r="FR5" s="19"/>
      <c r="FS5" s="19"/>
      <c r="FT5" s="23"/>
      <c r="FV5" s="19" t="s">
        <v>214</v>
      </c>
      <c r="FW5" s="19"/>
      <c r="FX5" s="19"/>
      <c r="FY5" s="19"/>
      <c r="FZ5" s="19"/>
      <c r="GB5" s="19" t="s">
        <v>215</v>
      </c>
      <c r="GC5" s="19"/>
      <c r="GD5" s="19"/>
      <c r="GE5" s="19"/>
      <c r="GF5" s="19"/>
      <c r="GH5" s="19" t="s">
        <v>216</v>
      </c>
      <c r="GI5" s="19"/>
      <c r="GJ5" s="19"/>
      <c r="GK5" s="19"/>
      <c r="GL5" s="19"/>
      <c r="GN5" s="141"/>
      <c r="GO5" s="141"/>
    </row>
    <row r="6" spans="1:197" x14ac:dyDescent="0.25">
      <c r="A6" s="7"/>
      <c r="B6" s="7"/>
      <c r="C6" s="24" t="s">
        <v>217</v>
      </c>
      <c r="D6" s="24" t="s">
        <v>218</v>
      </c>
      <c r="E6" s="24" t="s">
        <v>219</v>
      </c>
      <c r="F6" s="24" t="s">
        <v>220</v>
      </c>
      <c r="G6" s="24" t="s">
        <v>221</v>
      </c>
      <c r="H6" s="24" t="s">
        <v>222</v>
      </c>
      <c r="I6" s="24" t="s">
        <v>210</v>
      </c>
      <c r="J6" s="24"/>
      <c r="K6" s="24" t="s">
        <v>217</v>
      </c>
      <c r="L6" s="24" t="s">
        <v>218</v>
      </c>
      <c r="M6" s="24" t="s">
        <v>219</v>
      </c>
      <c r="N6" s="24" t="s">
        <v>220</v>
      </c>
      <c r="O6" s="24" t="s">
        <v>221</v>
      </c>
      <c r="P6" s="24" t="s">
        <v>222</v>
      </c>
      <c r="Q6" s="24" t="s">
        <v>210</v>
      </c>
      <c r="R6" s="24"/>
      <c r="S6" s="24" t="s">
        <v>217</v>
      </c>
      <c r="T6" s="24" t="s">
        <v>218</v>
      </c>
      <c r="U6" s="24" t="s">
        <v>219</v>
      </c>
      <c r="V6" s="24" t="s">
        <v>220</v>
      </c>
      <c r="W6" s="24" t="s">
        <v>221</v>
      </c>
      <c r="X6" s="24" t="s">
        <v>222</v>
      </c>
      <c r="Y6" s="24" t="s">
        <v>210</v>
      </c>
      <c r="Z6" s="24"/>
      <c r="AA6" s="24" t="s">
        <v>217</v>
      </c>
      <c r="AB6" s="24" t="s">
        <v>218</v>
      </c>
      <c r="AC6" s="24" t="s">
        <v>219</v>
      </c>
      <c r="AD6" s="24" t="s">
        <v>220</v>
      </c>
      <c r="AE6" s="24" t="s">
        <v>221</v>
      </c>
      <c r="AF6" s="24" t="s">
        <v>222</v>
      </c>
      <c r="AG6" s="24" t="s">
        <v>210</v>
      </c>
      <c r="AH6" s="24"/>
      <c r="AI6" s="24" t="s">
        <v>217</v>
      </c>
      <c r="AJ6" s="24" t="s">
        <v>218</v>
      </c>
      <c r="AK6" s="24" t="s">
        <v>219</v>
      </c>
      <c r="AL6" s="24" t="s">
        <v>220</v>
      </c>
      <c r="AM6" s="24" t="s">
        <v>221</v>
      </c>
      <c r="AN6" s="24" t="s">
        <v>222</v>
      </c>
      <c r="AO6" s="24" t="s">
        <v>210</v>
      </c>
      <c r="AP6" s="24"/>
      <c r="AQ6" s="24" t="s">
        <v>217</v>
      </c>
      <c r="AR6" s="24" t="s">
        <v>218</v>
      </c>
      <c r="AS6" s="24" t="s">
        <v>219</v>
      </c>
      <c r="AT6" s="24" t="s">
        <v>220</v>
      </c>
      <c r="AU6" s="24" t="s">
        <v>221</v>
      </c>
      <c r="AV6" s="24" t="s">
        <v>222</v>
      </c>
      <c r="AW6" s="24" t="s">
        <v>210</v>
      </c>
      <c r="AX6" s="24"/>
      <c r="AY6" s="24" t="s">
        <v>217</v>
      </c>
      <c r="AZ6" s="24" t="s">
        <v>218</v>
      </c>
      <c r="BA6" s="24" t="s">
        <v>219</v>
      </c>
      <c r="BB6" s="24" t="s">
        <v>220</v>
      </c>
      <c r="BC6" s="24" t="s">
        <v>221</v>
      </c>
      <c r="BD6" s="24" t="s">
        <v>222</v>
      </c>
      <c r="BE6" s="24" t="s">
        <v>210</v>
      </c>
      <c r="BF6" s="24"/>
      <c r="BG6" s="24" t="s">
        <v>217</v>
      </c>
      <c r="BH6" s="24" t="s">
        <v>218</v>
      </c>
      <c r="BI6" s="24" t="s">
        <v>221</v>
      </c>
      <c r="BJ6" s="24" t="s">
        <v>222</v>
      </c>
      <c r="BK6" s="24" t="s">
        <v>210</v>
      </c>
      <c r="BL6" s="24"/>
      <c r="BM6" s="24" t="s">
        <v>217</v>
      </c>
      <c r="BN6" s="24" t="s">
        <v>218</v>
      </c>
      <c r="BO6" s="24" t="s">
        <v>221</v>
      </c>
      <c r="BP6" s="24" t="s">
        <v>222</v>
      </c>
      <c r="BQ6" s="24" t="s">
        <v>210</v>
      </c>
      <c r="BR6" s="24"/>
      <c r="BS6" s="24" t="s">
        <v>217</v>
      </c>
      <c r="BT6" s="24" t="s">
        <v>218</v>
      </c>
      <c r="BU6" s="24" t="s">
        <v>219</v>
      </c>
      <c r="BV6" s="24" t="s">
        <v>220</v>
      </c>
      <c r="BW6" s="24" t="s">
        <v>221</v>
      </c>
      <c r="BX6" s="24" t="s">
        <v>222</v>
      </c>
      <c r="BY6" s="24" t="s">
        <v>210</v>
      </c>
      <c r="BZ6" s="24"/>
      <c r="CA6" s="24" t="s">
        <v>217</v>
      </c>
      <c r="CB6" s="24" t="s">
        <v>218</v>
      </c>
      <c r="CC6" s="24" t="s">
        <v>219</v>
      </c>
      <c r="CD6" s="24" t="s">
        <v>220</v>
      </c>
      <c r="CE6" s="24" t="s">
        <v>221</v>
      </c>
      <c r="CF6" s="24" t="s">
        <v>222</v>
      </c>
      <c r="CG6" s="24" t="s">
        <v>210</v>
      </c>
      <c r="CH6" s="24"/>
      <c r="CI6" s="24" t="s">
        <v>217</v>
      </c>
      <c r="CJ6" s="24" t="s">
        <v>218</v>
      </c>
      <c r="CK6" s="24" t="s">
        <v>219</v>
      </c>
      <c r="CL6" s="24" t="s">
        <v>220</v>
      </c>
      <c r="CM6" s="24" t="s">
        <v>221</v>
      </c>
      <c r="CN6" s="24" t="s">
        <v>222</v>
      </c>
      <c r="CO6" s="24" t="s">
        <v>210</v>
      </c>
      <c r="CP6" s="24"/>
      <c r="CQ6" s="24" t="s">
        <v>217</v>
      </c>
      <c r="CR6" s="24" t="s">
        <v>218</v>
      </c>
      <c r="CS6" s="24" t="s">
        <v>219</v>
      </c>
      <c r="CT6" s="24" t="s">
        <v>220</v>
      </c>
      <c r="CU6" s="24" t="s">
        <v>221</v>
      </c>
      <c r="CV6" s="24" t="s">
        <v>222</v>
      </c>
      <c r="CW6" s="24" t="s">
        <v>210</v>
      </c>
      <c r="CX6" s="24"/>
      <c r="CY6" s="24" t="s">
        <v>217</v>
      </c>
      <c r="CZ6" s="24" t="s">
        <v>218</v>
      </c>
      <c r="DA6" s="24" t="s">
        <v>219</v>
      </c>
      <c r="DB6" s="24" t="s">
        <v>220</v>
      </c>
      <c r="DC6" s="24" t="s">
        <v>221</v>
      </c>
      <c r="DD6" s="24" t="s">
        <v>222</v>
      </c>
      <c r="DE6" s="24" t="s">
        <v>210</v>
      </c>
      <c r="DF6" s="24"/>
      <c r="DG6" s="24" t="s">
        <v>217</v>
      </c>
      <c r="DH6" s="24" t="s">
        <v>218</v>
      </c>
      <c r="DI6" s="24" t="s">
        <v>221</v>
      </c>
      <c r="DJ6" s="24" t="s">
        <v>222</v>
      </c>
      <c r="DK6" s="24"/>
      <c r="DL6" s="24" t="s">
        <v>217</v>
      </c>
      <c r="DM6" s="24" t="s">
        <v>218</v>
      </c>
      <c r="DN6" s="24" t="s">
        <v>221</v>
      </c>
      <c r="DO6" s="24" t="s">
        <v>222</v>
      </c>
      <c r="DP6" s="24"/>
      <c r="DQ6" s="24" t="s">
        <v>217</v>
      </c>
      <c r="DR6" s="24" t="s">
        <v>218</v>
      </c>
      <c r="DS6" s="24" t="s">
        <v>221</v>
      </c>
      <c r="DT6" s="24" t="s">
        <v>222</v>
      </c>
      <c r="DU6" s="24"/>
      <c r="DV6" s="24" t="s">
        <v>217</v>
      </c>
      <c r="DW6" s="24" t="s">
        <v>218</v>
      </c>
      <c r="DX6" s="24" t="s">
        <v>221</v>
      </c>
      <c r="DY6" s="24" t="s">
        <v>222</v>
      </c>
      <c r="DZ6" s="24"/>
      <c r="EA6" s="24" t="s">
        <v>217</v>
      </c>
      <c r="EB6" s="24" t="s">
        <v>218</v>
      </c>
      <c r="EC6" s="24" t="s">
        <v>221</v>
      </c>
      <c r="ED6" s="24" t="s">
        <v>222</v>
      </c>
      <c r="EE6" s="24"/>
      <c r="EF6" s="24" t="s">
        <v>223</v>
      </c>
      <c r="EG6" s="24" t="s">
        <v>224</v>
      </c>
      <c r="EH6" s="24" t="s">
        <v>225</v>
      </c>
      <c r="EI6" s="24" t="s">
        <v>226</v>
      </c>
      <c r="EJ6" s="24" t="s">
        <v>227</v>
      </c>
      <c r="EK6" s="24"/>
      <c r="EL6" s="24" t="s">
        <v>217</v>
      </c>
      <c r="EM6" s="24" t="s">
        <v>218</v>
      </c>
      <c r="EN6" s="24" t="s">
        <v>221</v>
      </c>
      <c r="EO6" s="24" t="s">
        <v>222</v>
      </c>
      <c r="EP6" s="24" t="s">
        <v>210</v>
      </c>
      <c r="EQ6" s="24"/>
      <c r="ER6" s="24" t="s">
        <v>217</v>
      </c>
      <c r="ES6" s="24" t="s">
        <v>218</v>
      </c>
      <c r="ET6" s="24" t="s">
        <v>221</v>
      </c>
      <c r="EU6" s="24" t="s">
        <v>222</v>
      </c>
      <c r="EV6" s="24" t="s">
        <v>210</v>
      </c>
      <c r="EW6" s="24"/>
      <c r="EX6" s="24" t="s">
        <v>217</v>
      </c>
      <c r="EY6" s="25" t="s">
        <v>218</v>
      </c>
      <c r="EZ6" s="25" t="s">
        <v>221</v>
      </c>
      <c r="FA6" s="25" t="s">
        <v>222</v>
      </c>
      <c r="FB6" s="25" t="s">
        <v>210</v>
      </c>
      <c r="FC6" s="24"/>
      <c r="FD6" s="24" t="s">
        <v>217</v>
      </c>
      <c r="FE6" s="25" t="s">
        <v>218</v>
      </c>
      <c r="FF6" s="25" t="s">
        <v>221</v>
      </c>
      <c r="FG6" s="25" t="s">
        <v>222</v>
      </c>
      <c r="FH6" s="25" t="s">
        <v>210</v>
      </c>
      <c r="FI6" s="24"/>
      <c r="FJ6" s="24" t="s">
        <v>217</v>
      </c>
      <c r="FK6" s="25" t="s">
        <v>218</v>
      </c>
      <c r="FL6" s="25" t="s">
        <v>221</v>
      </c>
      <c r="FM6" s="25" t="s">
        <v>222</v>
      </c>
      <c r="FN6" s="25" t="s">
        <v>210</v>
      </c>
      <c r="FO6" s="7"/>
      <c r="FP6" s="20" t="s">
        <v>223</v>
      </c>
      <c r="FQ6" s="20" t="s">
        <v>224</v>
      </c>
      <c r="FR6" s="20" t="s">
        <v>225</v>
      </c>
      <c r="FS6" s="20" t="s">
        <v>228</v>
      </c>
      <c r="FT6" s="26" t="s">
        <v>210</v>
      </c>
      <c r="FU6" s="20"/>
      <c r="FV6" s="20" t="s">
        <v>223</v>
      </c>
      <c r="FW6" s="20" t="s">
        <v>224</v>
      </c>
      <c r="FX6" s="20" t="s">
        <v>225</v>
      </c>
      <c r="FY6" s="20" t="s">
        <v>228</v>
      </c>
      <c r="FZ6" s="20" t="s">
        <v>210</v>
      </c>
      <c r="GB6" s="20" t="s">
        <v>223</v>
      </c>
      <c r="GC6" s="20" t="s">
        <v>224</v>
      </c>
      <c r="GD6" s="20" t="s">
        <v>225</v>
      </c>
      <c r="GE6" s="20" t="s">
        <v>228</v>
      </c>
      <c r="GF6" s="20" t="s">
        <v>210</v>
      </c>
      <c r="GG6" s="20"/>
      <c r="GH6" s="20" t="s">
        <v>223</v>
      </c>
      <c r="GI6" s="20" t="s">
        <v>224</v>
      </c>
      <c r="GJ6" s="20" t="s">
        <v>225</v>
      </c>
      <c r="GK6" s="20" t="s">
        <v>228</v>
      </c>
      <c r="GL6" s="20" t="s">
        <v>210</v>
      </c>
    </row>
    <row r="7" spans="1:197" s="38" customFormat="1" x14ac:dyDescent="0.25">
      <c r="A7" s="82" t="s">
        <v>229</v>
      </c>
      <c r="B7" s="27"/>
      <c r="C7" s="28">
        <f t="shared" ref="C7:I22" si="0">IF(SUM(S7,AA7,AI7,AY7)&lt;=0,"-",SUM(S7,AA7,AI7,AQ7,AY7))</f>
        <v>211.57499999999999</v>
      </c>
      <c r="D7" s="28">
        <f t="shared" si="0"/>
        <v>13.205</v>
      </c>
      <c r="E7" s="28">
        <f t="shared" si="0"/>
        <v>9.0730000000000004</v>
      </c>
      <c r="F7" s="28">
        <f t="shared" si="0"/>
        <v>6.3E-2</v>
      </c>
      <c r="G7" s="28">
        <f t="shared" si="0"/>
        <v>3.1879999999999997</v>
      </c>
      <c r="H7" s="28">
        <f t="shared" si="0"/>
        <v>2.7E-2</v>
      </c>
      <c r="I7" s="28">
        <f t="shared" si="0"/>
        <v>227.99500000000003</v>
      </c>
      <c r="J7" s="28"/>
      <c r="K7" s="28">
        <f t="shared" ref="K7:Q23" si="1">IF(SUM(S7,AA7,AI7,AQ7)&lt;=0,"-",SUM(S7,AA7,AI7,AQ7))</f>
        <v>211.57499999999999</v>
      </c>
      <c r="L7" s="28">
        <f t="shared" si="1"/>
        <v>13.205</v>
      </c>
      <c r="M7" s="28">
        <f t="shared" si="1"/>
        <v>9.0730000000000004</v>
      </c>
      <c r="N7" s="28">
        <f t="shared" si="1"/>
        <v>6.3E-2</v>
      </c>
      <c r="O7" s="28">
        <f t="shared" si="1"/>
        <v>3.1879999999999997</v>
      </c>
      <c r="P7" s="28">
        <f t="shared" si="1"/>
        <v>2.7E-2</v>
      </c>
      <c r="Q7" s="28">
        <f t="shared" si="1"/>
        <v>227.99500000000003</v>
      </c>
      <c r="R7" s="28"/>
      <c r="S7" s="29">
        <v>99.197000000000003</v>
      </c>
      <c r="T7" s="29">
        <v>1.387</v>
      </c>
      <c r="U7" s="29" t="s">
        <v>230</v>
      </c>
      <c r="V7" s="29" t="s">
        <v>230</v>
      </c>
      <c r="W7" s="29">
        <v>0.88</v>
      </c>
      <c r="X7" s="29">
        <v>0</v>
      </c>
      <c r="Y7" s="30">
        <f t="shared" ref="Y7:Y11" si="2">SUM(S7:T7,W7:X7)</f>
        <v>101.464</v>
      </c>
      <c r="Z7" s="30"/>
      <c r="AA7" s="29">
        <v>13.201000000000001</v>
      </c>
      <c r="AB7" s="29">
        <v>2.6819999999999999</v>
      </c>
      <c r="AC7" s="29" t="s">
        <v>230</v>
      </c>
      <c r="AD7" s="29" t="s">
        <v>230</v>
      </c>
      <c r="AE7" s="29">
        <v>0.32200000000000001</v>
      </c>
      <c r="AF7" s="29">
        <v>0</v>
      </c>
      <c r="AG7" s="30">
        <f t="shared" ref="AG7:AG11" si="3">SUM(AA7:AB7,AE7:AF7)</f>
        <v>16.205000000000002</v>
      </c>
      <c r="AH7" s="30"/>
      <c r="AI7" s="31">
        <v>53.843000000000004</v>
      </c>
      <c r="AJ7" s="31">
        <v>8.7100000000000009</v>
      </c>
      <c r="AK7" s="32">
        <f t="shared" ref="AK7:AK9" si="4">AJ7-AL7</f>
        <v>8.6470000000000002</v>
      </c>
      <c r="AL7" s="31">
        <v>6.3E-2</v>
      </c>
      <c r="AM7" s="31">
        <v>1.9570000000000001</v>
      </c>
      <c r="AN7" s="31">
        <v>2.7E-2</v>
      </c>
      <c r="AO7" s="30">
        <f t="shared" ref="AO7:AO11" si="5">SUM(AI7:AJ7,AM7:AN7)</f>
        <v>64.537000000000006</v>
      </c>
      <c r="AP7" s="30"/>
      <c r="AQ7" s="29">
        <f>2.11+1.39+41.834</f>
        <v>45.334000000000003</v>
      </c>
      <c r="AR7" s="29">
        <f>0.398+0.028</f>
        <v>0.42600000000000005</v>
      </c>
      <c r="AS7" s="30">
        <f>AR7-AT7</f>
        <v>0.42600000000000005</v>
      </c>
      <c r="AT7" s="29">
        <v>0</v>
      </c>
      <c r="AU7" s="29">
        <f>0.02+0.009</f>
        <v>2.8999999999999998E-2</v>
      </c>
      <c r="AV7" s="29">
        <v>0</v>
      </c>
      <c r="AW7" s="30">
        <f t="shared" ref="AW7:AW11" si="6">SUM(AQ7:AR7,AU7:AV7)</f>
        <v>45.789000000000009</v>
      </c>
      <c r="AX7" s="30"/>
      <c r="AY7" s="29" t="s">
        <v>230</v>
      </c>
      <c r="AZ7" s="29" t="s">
        <v>230</v>
      </c>
      <c r="BA7" s="29" t="s">
        <v>230</v>
      </c>
      <c r="BB7" s="29" t="s">
        <v>230</v>
      </c>
      <c r="BC7" s="29" t="s">
        <v>230</v>
      </c>
      <c r="BD7" s="29" t="s">
        <v>230</v>
      </c>
      <c r="BE7" s="30">
        <f t="shared" ref="BE7:BE11" si="7">SUM(AY7:AZ7,BC7:BD7)</f>
        <v>0</v>
      </c>
      <c r="BF7" s="30"/>
      <c r="BG7" s="28">
        <f t="shared" ref="BG7:BH23" si="8">IF(SUM(BS7,CA7,CI7,CY7,CQ7)&lt;=0,"-",SUM(BS7,CA7,CI7,CY7,CQ7))</f>
        <v>244</v>
      </c>
      <c r="BH7" s="28">
        <f t="shared" si="8"/>
        <v>642</v>
      </c>
      <c r="BI7" s="28">
        <f t="shared" ref="BI7:BK23" si="9">IF(SUM(BW7,CE7,CM7,DC7,CU7)&lt;=0,"-",SUM(BW7,CE7,CM7,DC7,CU7))</f>
        <v>858</v>
      </c>
      <c r="BJ7" s="28" t="str">
        <f t="shared" si="9"/>
        <v>-</v>
      </c>
      <c r="BK7" s="28">
        <f t="shared" si="9"/>
        <v>1744</v>
      </c>
      <c r="BL7" s="28"/>
      <c r="BM7" s="28">
        <f t="shared" ref="BM7:BN23" si="10">IF(SUM(BS7,CA7,CI7,CQ7)&lt;=0,"-",SUM(BS7,CA7,CI7,CQ7))</f>
        <v>244</v>
      </c>
      <c r="BN7" s="28">
        <f t="shared" si="10"/>
        <v>642</v>
      </c>
      <c r="BO7" s="28">
        <f t="shared" ref="BO7:BQ23" si="11">IF(SUM(BW7,CE7,CM7,CU7)&lt;=0,"-",SUM(BW7,CE7,CM7,CU7))</f>
        <v>858</v>
      </c>
      <c r="BP7" s="28" t="str">
        <f t="shared" si="11"/>
        <v>-</v>
      </c>
      <c r="BQ7" s="28">
        <f t="shared" si="11"/>
        <v>1744</v>
      </c>
      <c r="BR7" s="28"/>
      <c r="BS7" s="29">
        <v>12</v>
      </c>
      <c r="BT7" s="29">
        <v>14</v>
      </c>
      <c r="BU7" s="29" t="s">
        <v>230</v>
      </c>
      <c r="BV7" s="29" t="s">
        <v>230</v>
      </c>
      <c r="BW7" s="29">
        <v>92</v>
      </c>
      <c r="BX7" s="29">
        <v>0</v>
      </c>
      <c r="BY7" s="30">
        <f t="shared" ref="BY7:BY11" si="12">SUM(BS7:BT7,BW7:BX7)</f>
        <v>118</v>
      </c>
      <c r="BZ7" s="28"/>
      <c r="CA7" s="29">
        <f>64+6</f>
        <v>70</v>
      </c>
      <c r="CB7" s="29">
        <v>371</v>
      </c>
      <c r="CC7" s="29" t="s">
        <v>230</v>
      </c>
      <c r="CD7" s="29" t="s">
        <v>230</v>
      </c>
      <c r="CE7" s="29">
        <v>185</v>
      </c>
      <c r="CF7" s="29">
        <v>0</v>
      </c>
      <c r="CG7" s="30">
        <f t="shared" ref="CG7:CG11" si="13">SUM(CA7:CB7,CE7:CF7)</f>
        <v>626</v>
      </c>
      <c r="CH7" s="30"/>
      <c r="CI7" s="29">
        <f>135+21+2</f>
        <v>158</v>
      </c>
      <c r="CJ7" s="29">
        <f>238+14+2</f>
        <v>254</v>
      </c>
      <c r="CK7" s="33">
        <f t="shared" ref="CK7:CK9" si="14">CJ7-CL7</f>
        <v>247</v>
      </c>
      <c r="CL7" s="29">
        <v>7</v>
      </c>
      <c r="CM7" s="29">
        <f>560+19+1</f>
        <v>580</v>
      </c>
      <c r="CN7" s="29">
        <v>0</v>
      </c>
      <c r="CO7" s="30">
        <f t="shared" ref="CO7:CO11" si="15">SUM(CI7:CJ7,CM7:CN7)</f>
        <v>992</v>
      </c>
      <c r="CP7" s="30"/>
      <c r="CQ7" s="29">
        <f>3+1</f>
        <v>4</v>
      </c>
      <c r="CR7" s="29">
        <v>3</v>
      </c>
      <c r="CS7" s="33">
        <f>CR7-CT7</f>
        <v>3</v>
      </c>
      <c r="CT7" s="29">
        <v>0</v>
      </c>
      <c r="CU7" s="29">
        <v>1</v>
      </c>
      <c r="CV7" s="29"/>
      <c r="CW7" s="30">
        <f t="shared" ref="CW7:CW11" si="16">SUM(CQ7:CR7,CU7:CV7)</f>
        <v>8</v>
      </c>
      <c r="CX7" s="30"/>
      <c r="CY7" s="29" t="s">
        <v>230</v>
      </c>
      <c r="CZ7" s="29" t="s">
        <v>230</v>
      </c>
      <c r="DA7" s="29" t="s">
        <v>230</v>
      </c>
      <c r="DB7" s="29" t="s">
        <v>230</v>
      </c>
      <c r="DC7" s="29" t="s">
        <v>230</v>
      </c>
      <c r="DD7" s="29" t="s">
        <v>230</v>
      </c>
      <c r="DE7" s="30">
        <f t="shared" ref="DE7:DE23" si="17">SUM(CY7:CZ7,DC7:DD7)</f>
        <v>0</v>
      </c>
      <c r="DF7" s="30"/>
      <c r="DG7" s="34">
        <f t="shared" ref="DG7:DH23" si="18">IF(ISERROR(K7/$Q7),"-",IF(K7/$Q7&lt;=0,"-",K7/$Q7))</f>
        <v>0.92798087677361329</v>
      </c>
      <c r="DH7" s="34">
        <f t="shared" si="18"/>
        <v>5.7917936796859575E-2</v>
      </c>
      <c r="DI7" s="34">
        <f t="shared" ref="DI7:DJ23" si="19">IF(ISERROR(O7/$Q7),"-",IF(O7/$Q7&lt;=0,"-",O7/$Q7))</f>
        <v>1.398276277988552E-2</v>
      </c>
      <c r="DJ7" s="34">
        <f t="shared" si="19"/>
        <v>1.1842364964143948E-4</v>
      </c>
      <c r="DK7" s="30"/>
      <c r="DL7" s="34">
        <f t="shared" ref="DL7:DM23" si="20">IF(ISERROR(S7/$Y7),"-",IF(S7/$Y7&lt;=0,"-",S7/$Y7))</f>
        <v>0.97765710005519202</v>
      </c>
      <c r="DM7" s="34">
        <f t="shared" si="20"/>
        <v>1.3669873058424663E-2</v>
      </c>
      <c r="DN7" s="34">
        <f t="shared" ref="DN7:DO23" si="21">IF(ISERROR(W7/$Y7),"-",IF(W7/$Y7&lt;=0,"-",W7/$Y7))</f>
        <v>8.6730268863833473E-3</v>
      </c>
      <c r="DO7" s="34" t="str">
        <f t="shared" si="21"/>
        <v>-</v>
      </c>
      <c r="DP7" s="30"/>
      <c r="DQ7" s="34">
        <f t="shared" ref="DQ7:DR23" si="22">IF(ISERROR(AA7/$AG7),"-",IF(AA7/$AG7&lt;=0,"-",AA7/$AG7))</f>
        <v>0.81462511570502927</v>
      </c>
      <c r="DR7" s="34">
        <f t="shared" si="22"/>
        <v>0.16550447392780004</v>
      </c>
      <c r="DS7" s="34">
        <f t="shared" ref="DS7:DT23" si="23">IF(ISERROR(AE7/$AG7),"-",IF(AE7/$AG7&lt;=0,"-",AE7/$AG7))</f>
        <v>1.9870410367170625E-2</v>
      </c>
      <c r="DT7" s="34" t="str">
        <f t="shared" si="23"/>
        <v>-</v>
      </c>
      <c r="DU7" s="30"/>
      <c r="DV7" s="34">
        <f t="shared" ref="DV7:DW23" si="24">IF(ISERROR(AI7/$AO7),"-",IF(AI7/$AO7&lt;=0,"-",AI7/$AO7))</f>
        <v>0.83429660504826686</v>
      </c>
      <c r="DW7" s="34">
        <f t="shared" si="24"/>
        <v>0.13496134000650789</v>
      </c>
      <c r="DX7" s="34">
        <f t="shared" ref="DX7:DY23" si="25">IF(ISERROR(AM7/$AM7),"-",IF(AM7/$AO7&lt;=0,"-",AM7/$AO7))</f>
        <v>3.0323690286192414E-2</v>
      </c>
      <c r="DY7" s="34">
        <f t="shared" si="25"/>
        <v>4.1836465903280284E-4</v>
      </c>
      <c r="DZ7" s="30"/>
      <c r="EA7" s="34">
        <f t="shared" ref="EA7:EB23" si="26">IF(ISERROR(AQ7/$AW7),"-",IF(AQ7/$AW7&lt;=0,"-",AQ7/$AW7))</f>
        <v>0.99006311559544857</v>
      </c>
      <c r="EB7" s="34">
        <f t="shared" si="26"/>
        <v>9.3035445194260616E-3</v>
      </c>
      <c r="EC7" s="34">
        <f t="shared" ref="EC7:ED23" si="27">IF(ISERROR(AU7/$AW7),"-",IF(AU7/$AW7&lt;=0,"-",AU7/$AW7))</f>
        <v>6.3333988512524828E-4</v>
      </c>
      <c r="ED7" s="34" t="str">
        <f t="shared" si="27"/>
        <v>-</v>
      </c>
      <c r="EE7" s="30"/>
      <c r="EF7" s="35" t="str">
        <f t="shared" ref="EF7:EF23" si="28">IF(ISERROR(V7/T7),"-",V7/T7)</f>
        <v>-</v>
      </c>
      <c r="EG7" s="35" t="str">
        <f t="shared" ref="EG7:EG23" si="29">IF(ISERROR(AD7/AB7),"-",AD7/AB7)</f>
        <v>-</v>
      </c>
      <c r="EH7" s="35">
        <f t="shared" ref="EH7:EH23" si="30">IF(ISERROR(AL7/AJ7),"-",AL7/AJ7)</f>
        <v>7.2330654420206652E-3</v>
      </c>
      <c r="EI7" s="35">
        <f t="shared" ref="EI7:EI23" si="31">IF(ISERROR(AT7/AR7),"-",AT7/AR7)</f>
        <v>0</v>
      </c>
      <c r="EJ7" s="35">
        <f t="shared" ref="EJ7:EJ23" si="32">IF(ISERROR(N7/L7),"-",N7/L7)</f>
        <v>4.7709201060204464E-3</v>
      </c>
      <c r="EK7" s="30"/>
      <c r="EL7" s="36">
        <f t="shared" ref="EL7:EM23" si="33">IF(ISERROR(BM7/K7/1000),"-",IF((BM7/K7/1000)&lt;=0,"-",BM7/K7/1000))</f>
        <v>1.1532553468037339E-3</v>
      </c>
      <c r="EM7" s="36">
        <f t="shared" si="33"/>
        <v>4.8617947747065508E-2</v>
      </c>
      <c r="EN7" s="36">
        <f t="shared" ref="EN7:EP23" si="34">IF(ISERROR(BO7/O7/1000),"-",IF((BO7/O7/1000)&lt;=0,"-",BO7/O7/1000))</f>
        <v>0.26913425345043918</v>
      </c>
      <c r="EO7" s="36" t="str">
        <f t="shared" si="34"/>
        <v>-</v>
      </c>
      <c r="EP7" s="36">
        <f t="shared" si="34"/>
        <v>7.6492905546174245E-3</v>
      </c>
      <c r="EQ7" s="28"/>
      <c r="ER7" s="36">
        <f t="shared" ref="ER7:ES23" si="35">IF(OR(BS7=0,S7=0),"-",IF(ISERROR(BS7/S7/1000),"-",IF((BS7/S7/1000)&lt;=0,"-",BS7/S7/1000)))</f>
        <v>1.2097140034476849E-4</v>
      </c>
      <c r="ES7" s="37">
        <f t="shared" si="35"/>
        <v>1.0093727469358328E-2</v>
      </c>
      <c r="ET7" s="37">
        <f t="shared" ref="ET7:EV23" si="36">IF(OR(BW7=0,W7=0),"-",IF(ISERROR(BW7/W7/1000),"-",IF((BW7/W7/1000)&lt;=0,"-",BW7/W7/1000)))</f>
        <v>0.10454545454545455</v>
      </c>
      <c r="EU7" s="37" t="str">
        <f t="shared" si="36"/>
        <v>-</v>
      </c>
      <c r="EV7" s="37">
        <f t="shared" si="36"/>
        <v>1.1629740597650397E-3</v>
      </c>
      <c r="EW7" s="30"/>
      <c r="EX7" s="36">
        <f t="shared" ref="EX7:EY23" si="37">IF(OR(CA7=0,AA7=0),"-",IF(ISERROR(CA7/AA7/1000),"-",IF((CA7/AA7/1000)&lt;=0,"-",CA7/AA7/1000)))</f>
        <v>5.3026285887432766E-3</v>
      </c>
      <c r="EY7" s="37">
        <f t="shared" si="37"/>
        <v>0.13832960477255779</v>
      </c>
      <c r="EZ7" s="37">
        <f t="shared" ref="EZ7:FB23" si="38">IF(OR(CE7=0,AE7=0),"-",IF(ISERROR(CE7/AE7/1000),"-",IF((CE7/AE7/1000)&lt;=0,"-",CE7/AE7/1000)))</f>
        <v>0.57453416149068326</v>
      </c>
      <c r="FA7" s="37" t="str">
        <f t="shared" si="38"/>
        <v>-</v>
      </c>
      <c r="FB7" s="37">
        <f t="shared" si="38"/>
        <v>3.8630052452946616E-2</v>
      </c>
      <c r="FC7" s="30"/>
      <c r="FD7" s="36">
        <f t="shared" ref="FD7:FE23" si="39">IF(OR(CI7=0,AI7=0),"-",IF(ISERROR(CI7/AI7/1000),"-",IF((CI7/AI7/1000)&lt;=0,"-",CI7/AI7/1000)))</f>
        <v>2.9344575896588228E-3</v>
      </c>
      <c r="FE7" s="37">
        <f t="shared" si="39"/>
        <v>2.9161882893226174E-2</v>
      </c>
      <c r="FF7" s="37">
        <f t="shared" ref="FF7:FH23" si="40">IF(OR(CM7=0,AM7=0),"-",IF(ISERROR(CM7/AM7/1000),"-",IF((CM7/AM7/1000)&lt;=0,"-",CM7/AM7/1000)))</f>
        <v>0.29637199795605518</v>
      </c>
      <c r="FG7" s="37" t="str">
        <f t="shared" si="40"/>
        <v>-</v>
      </c>
      <c r="FH7" s="37">
        <f t="shared" si="40"/>
        <v>1.5371027472612608E-2</v>
      </c>
      <c r="FI7" s="30"/>
      <c r="FJ7" s="36">
        <f t="shared" ref="FJ7:FK23" si="41">IF(OR(CQ7=0,AQ7=0),"-",IF(ISERROR(CQ7/AQ7/1000),"-",IF((CQ7/AQ7/1000)&lt;=0,"-",CQ7/AQ7/1000)))</f>
        <v>8.8233996558874126E-5</v>
      </c>
      <c r="FK7" s="36">
        <f t="shared" si="41"/>
        <v>7.0422535211267599E-3</v>
      </c>
      <c r="FL7" s="36">
        <f t="shared" ref="FL7:FN23" si="42">IF(OR(CU7=0,AU7=0),"-",IF(ISERROR(CU7/AU7/1000),"-",IF((CU7/AU7/1000)&lt;=0,"-",CU7/AU7/1000)))</f>
        <v>3.4482758620689662E-2</v>
      </c>
      <c r="FM7" s="36" t="str">
        <f t="shared" si="42"/>
        <v>-</v>
      </c>
      <c r="FN7" s="36">
        <f t="shared" si="42"/>
        <v>1.7471445106903403E-4</v>
      </c>
      <c r="FP7" s="29" t="s">
        <v>230</v>
      </c>
      <c r="FQ7" s="29" t="s">
        <v>230</v>
      </c>
      <c r="FR7" s="29" t="s">
        <v>230</v>
      </c>
      <c r="FS7" s="29" t="s">
        <v>230</v>
      </c>
      <c r="FT7" s="39">
        <v>613</v>
      </c>
      <c r="FV7" s="40" t="str">
        <f t="shared" ref="FV7:FV23" si="43">IF(ISERROR(FP7/$Y7/1000),"-",IF(FP7/$Y7/1000=0,"-",FP7/$Y7/1000))</f>
        <v>-</v>
      </c>
      <c r="FW7" s="40" t="str">
        <f t="shared" ref="FW7:FW23" si="44">IF(ISERROR(FQ7/$AG7/1000),"-",IF(FQ7/$AG7/1000=0,"-",FQ7/$AG7/1000))</f>
        <v>-</v>
      </c>
      <c r="FX7" s="40" t="str">
        <f t="shared" ref="FX7:FX23" si="45">IF(ISERROR(FR7/$AO7/1000),"-",IF(FR7/$AO7/1000=0,"-",FR7/$AO7/1000))</f>
        <v>-</v>
      </c>
      <c r="FY7" s="40" t="str">
        <f t="shared" ref="FY7:FY23" si="46">IF(ISERROR(FS7/$AW7/1000),"-",IF(FS7/$AW7/1000=0,"-",FS7/$AW7/1000))</f>
        <v>-</v>
      </c>
      <c r="FZ7" s="40">
        <f t="shared" ref="FZ7:FZ23" si="47">IF(ISERROR(FT7/$Q7/1000),"-",IF(FT7/$Q7/1000=0,"-",FT7/$Q7/1000))</f>
        <v>2.6886554529704596E-3</v>
      </c>
      <c r="GB7" s="29" t="s">
        <v>230</v>
      </c>
      <c r="GC7" s="29" t="s">
        <v>230</v>
      </c>
      <c r="GD7" s="29" t="s">
        <v>230</v>
      </c>
      <c r="GE7" s="29" t="s">
        <v>230</v>
      </c>
      <c r="GF7" s="41" t="str">
        <f t="shared" ref="GF7:GF21" si="48">IF(SUM(GB7:GE7)=0,"-",SUM(GB7:GE7))</f>
        <v>-</v>
      </c>
      <c r="GH7" s="40" t="str">
        <f t="shared" ref="GH7:GH23" si="49">IF(ISERROR(GB7/$Y7/1000),"-",IF(GB7/$Y7/1000=0,"-",GB7/$Y7/1000))</f>
        <v>-</v>
      </c>
      <c r="GI7" s="40" t="str">
        <f t="shared" ref="GI7:GI23" si="50">IF(ISERROR(GC7/$AG7/1000),"-",IF(GC7/$AG7/1000=0,"-",GC7/$AG7/1000))</f>
        <v>-</v>
      </c>
      <c r="GJ7" s="40" t="str">
        <f t="shared" ref="GJ7:GJ23" si="51">IF(ISERROR(GD7/$AO7/1000),"-",IF(GD7/$AO7/1000=0,"-",GD7/$AO7/1000))</f>
        <v>-</v>
      </c>
      <c r="GK7" s="40" t="str">
        <f t="shared" ref="GK7:GK23" si="52">IF(ISERROR(GE7/$AW7/1000),"-",IF(GE7/$AW7/1000=0,"-",GE7/$AW7/1000))</f>
        <v>-</v>
      </c>
      <c r="GL7" s="40" t="str">
        <f t="shared" ref="GL7:GL23" si="53">IF(ISERROR(GF7/$Q7/1000),"-",IF(GF7/$Q7/1000=0,"-",GF7/$Q7/1000))</f>
        <v>-</v>
      </c>
      <c r="GN7" s="42">
        <f t="shared" ref="GN7:GN23" si="54">SUM(BG7:BH7)</f>
        <v>886</v>
      </c>
      <c r="GO7" s="42">
        <f t="shared" ref="GO7:GO23" si="55">SUM(C7:D7)*1000</f>
        <v>224780</v>
      </c>
    </row>
    <row r="8" spans="1:197" s="58" customFormat="1" x14ac:dyDescent="0.25">
      <c r="A8" s="82" t="s">
        <v>250</v>
      </c>
      <c r="B8" s="44"/>
      <c r="C8" s="45">
        <f t="shared" si="0"/>
        <v>466.9319999999999</v>
      </c>
      <c r="D8" s="45">
        <f t="shared" si="0"/>
        <v>38.44</v>
      </c>
      <c r="E8" s="45">
        <f t="shared" si="0"/>
        <v>34.474000000000004</v>
      </c>
      <c r="F8" s="45">
        <f t="shared" si="0"/>
        <v>3.9660000000000002</v>
      </c>
      <c r="G8" s="45">
        <f t="shared" si="0"/>
        <v>8.7569999999999997</v>
      </c>
      <c r="H8" s="45" t="str">
        <f t="shared" si="0"/>
        <v>-</v>
      </c>
      <c r="I8" s="45">
        <f t="shared" si="0"/>
        <v>514.12900000000002</v>
      </c>
      <c r="J8" s="46"/>
      <c r="K8" s="45">
        <f t="shared" si="1"/>
        <v>451.61099999999993</v>
      </c>
      <c r="L8" s="45">
        <f t="shared" si="1"/>
        <v>38.44</v>
      </c>
      <c r="M8" s="45">
        <f t="shared" si="1"/>
        <v>34.474000000000004</v>
      </c>
      <c r="N8" s="45">
        <f t="shared" si="1"/>
        <v>3.9660000000000002</v>
      </c>
      <c r="O8" s="45">
        <f t="shared" si="1"/>
        <v>8.7539999999999996</v>
      </c>
      <c r="P8" s="45" t="str">
        <f t="shared" si="1"/>
        <v>-</v>
      </c>
      <c r="Q8" s="45">
        <f t="shared" si="1"/>
        <v>498.80500000000001</v>
      </c>
      <c r="R8" s="46"/>
      <c r="S8" s="47">
        <v>258.76</v>
      </c>
      <c r="T8" s="47">
        <v>26.838000000000001</v>
      </c>
      <c r="U8" s="48">
        <f>T8-V8</f>
        <v>23.347000000000001</v>
      </c>
      <c r="V8" s="47">
        <v>3.4910000000000001</v>
      </c>
      <c r="W8" s="47">
        <v>4.2469999999999999</v>
      </c>
      <c r="X8" s="47">
        <v>0</v>
      </c>
      <c r="Y8" s="49">
        <f t="shared" si="2"/>
        <v>289.84500000000003</v>
      </c>
      <c r="Z8" s="49"/>
      <c r="AA8" s="47">
        <f>24.84+13.884+9.654</f>
        <v>48.378</v>
      </c>
      <c r="AB8" s="47">
        <f>2.806+1.942+0.829</f>
        <v>5.577</v>
      </c>
      <c r="AC8" s="48">
        <f>AB8-AD8</f>
        <v>5.37</v>
      </c>
      <c r="AD8" s="50">
        <f>0.097+0.032+0.078</f>
        <v>0.20700000000000002</v>
      </c>
      <c r="AE8" s="47">
        <f>0.676+0.15+0.15</f>
        <v>0.97600000000000009</v>
      </c>
      <c r="AF8" s="47">
        <v>0</v>
      </c>
      <c r="AG8" s="49">
        <f t="shared" si="3"/>
        <v>54.930999999999997</v>
      </c>
      <c r="AH8" s="49"/>
      <c r="AI8" s="51">
        <v>87.322999999999993</v>
      </c>
      <c r="AJ8" s="51">
        <v>5.9930000000000003</v>
      </c>
      <c r="AK8" s="52">
        <f t="shared" si="4"/>
        <v>5.7280000000000006</v>
      </c>
      <c r="AL8" s="51">
        <v>0.26500000000000001</v>
      </c>
      <c r="AM8" s="51">
        <v>3.4470000000000001</v>
      </c>
      <c r="AN8" s="51">
        <v>0</v>
      </c>
      <c r="AO8" s="49">
        <f t="shared" si="5"/>
        <v>96.762999999999991</v>
      </c>
      <c r="AP8" s="49"/>
      <c r="AQ8" s="47">
        <f>0.753+56.397</f>
        <v>57.15</v>
      </c>
      <c r="AR8" s="47">
        <f>0.032</f>
        <v>3.2000000000000001E-2</v>
      </c>
      <c r="AS8" s="49">
        <f>AR8-AT8</f>
        <v>2.9000000000000001E-2</v>
      </c>
      <c r="AT8" s="50">
        <f>0.003</f>
        <v>3.0000000000000001E-3</v>
      </c>
      <c r="AU8" s="47">
        <f>0.077+0.007</f>
        <v>8.4000000000000005E-2</v>
      </c>
      <c r="AV8" s="47">
        <v>0</v>
      </c>
      <c r="AW8" s="49">
        <f t="shared" si="6"/>
        <v>57.265999999999998</v>
      </c>
      <c r="AX8" s="49"/>
      <c r="AY8" s="50">
        <f>9.777+5.544</f>
        <v>15.320999999999998</v>
      </c>
      <c r="AZ8" s="50">
        <v>0</v>
      </c>
      <c r="BA8" s="50" t="s">
        <v>230</v>
      </c>
      <c r="BB8" s="50" t="s">
        <v>230</v>
      </c>
      <c r="BC8" s="50">
        <v>3.0000000000000001E-3</v>
      </c>
      <c r="BD8" s="50" t="s">
        <v>230</v>
      </c>
      <c r="BE8" s="49">
        <f>SUM(AY8:AZ8,BC8:BD8)</f>
        <v>15.323999999999998</v>
      </c>
      <c r="BF8" s="49"/>
      <c r="BG8" s="45">
        <f t="shared" si="8"/>
        <v>620.66660255276122</v>
      </c>
      <c r="BH8" s="45">
        <f t="shared" si="8"/>
        <v>1398.3353974472388</v>
      </c>
      <c r="BI8" s="45">
        <f t="shared" si="9"/>
        <v>1922.0029999999999</v>
      </c>
      <c r="BJ8" s="45" t="str">
        <f t="shared" si="9"/>
        <v>-</v>
      </c>
      <c r="BK8" s="45">
        <f t="shared" si="9"/>
        <v>3941.0050000000001</v>
      </c>
      <c r="BL8" s="46"/>
      <c r="BM8" s="45">
        <f t="shared" si="10"/>
        <v>620.66460255276127</v>
      </c>
      <c r="BN8" s="45">
        <f t="shared" si="10"/>
        <v>1398.3353974472388</v>
      </c>
      <c r="BO8" s="45">
        <f t="shared" si="11"/>
        <v>1922</v>
      </c>
      <c r="BP8" s="45" t="str">
        <f t="shared" si="11"/>
        <v>-</v>
      </c>
      <c r="BQ8" s="45">
        <f t="shared" si="11"/>
        <v>3941</v>
      </c>
      <c r="BR8" s="46"/>
      <c r="BS8" s="47">
        <v>26</v>
      </c>
      <c r="BT8" s="47">
        <v>614</v>
      </c>
      <c r="BU8" s="48">
        <f>BT8-BV8</f>
        <v>447</v>
      </c>
      <c r="BV8" s="50">
        <v>167</v>
      </c>
      <c r="BW8" s="47">
        <v>576</v>
      </c>
      <c r="BX8" s="47">
        <v>0</v>
      </c>
      <c r="BY8" s="49">
        <f t="shared" si="12"/>
        <v>1216</v>
      </c>
      <c r="BZ8" s="46"/>
      <c r="CA8" s="47">
        <f>388+216+36-(201*13.884/(13.884+1.942))</f>
        <v>463.66460255276127</v>
      </c>
      <c r="CB8" s="47">
        <f>429+87+40-(201*1.942/(13.884+1.942))</f>
        <v>531.33539744723873</v>
      </c>
      <c r="CC8" s="53">
        <f>CB8-CD8</f>
        <v>477.33539744723873</v>
      </c>
      <c r="CD8" s="50">
        <f>39+9+6</f>
        <v>54</v>
      </c>
      <c r="CE8" s="47">
        <f>249+84+51</f>
        <v>384</v>
      </c>
      <c r="CF8" s="47">
        <v>0</v>
      </c>
      <c r="CG8" s="49">
        <f t="shared" si="13"/>
        <v>1379</v>
      </c>
      <c r="CH8" s="49"/>
      <c r="CI8" s="47">
        <v>115</v>
      </c>
      <c r="CJ8" s="47">
        <v>252</v>
      </c>
      <c r="CK8" s="48">
        <f t="shared" si="14"/>
        <v>251</v>
      </c>
      <c r="CL8" s="50">
        <v>1</v>
      </c>
      <c r="CM8" s="50">
        <v>946</v>
      </c>
      <c r="CN8" s="47">
        <v>0</v>
      </c>
      <c r="CO8" s="49">
        <f t="shared" si="15"/>
        <v>1313</v>
      </c>
      <c r="CP8" s="49"/>
      <c r="CQ8" s="47">
        <f>6+10</f>
        <v>16</v>
      </c>
      <c r="CR8" s="47">
        <f>1</f>
        <v>1</v>
      </c>
      <c r="CS8" s="48">
        <f>CR8-CT8</f>
        <v>1</v>
      </c>
      <c r="CT8" s="50">
        <v>0</v>
      </c>
      <c r="CU8" s="47">
        <f>10+6</f>
        <v>16</v>
      </c>
      <c r="CV8" s="47">
        <v>0</v>
      </c>
      <c r="CW8" s="49">
        <f t="shared" si="16"/>
        <v>33</v>
      </c>
      <c r="CX8" s="49"/>
      <c r="CY8" s="50">
        <v>2E-3</v>
      </c>
      <c r="CZ8" s="50">
        <v>0</v>
      </c>
      <c r="DA8" s="50" t="s">
        <v>230</v>
      </c>
      <c r="DB8" s="50" t="s">
        <v>230</v>
      </c>
      <c r="DC8" s="50">
        <v>3.0000000000000001E-3</v>
      </c>
      <c r="DD8" s="50">
        <v>0</v>
      </c>
      <c r="DE8" s="49">
        <f t="shared" si="17"/>
        <v>5.0000000000000001E-3</v>
      </c>
      <c r="DF8" s="49"/>
      <c r="DG8" s="54">
        <f t="shared" si="18"/>
        <v>0.90538587223464062</v>
      </c>
      <c r="DH8" s="54">
        <f t="shared" si="18"/>
        <v>7.7064183398321981E-2</v>
      </c>
      <c r="DI8" s="54">
        <f t="shared" si="19"/>
        <v>1.7549944367037218E-2</v>
      </c>
      <c r="DJ8" s="54" t="str">
        <f t="shared" si="19"/>
        <v>-</v>
      </c>
      <c r="DK8" s="49"/>
      <c r="DL8" s="54">
        <f t="shared" si="20"/>
        <v>0.892753023167555</v>
      </c>
      <c r="DM8" s="54">
        <f t="shared" si="20"/>
        <v>9.2594317652538422E-2</v>
      </c>
      <c r="DN8" s="54">
        <f t="shared" si="21"/>
        <v>1.46526591799065E-2</v>
      </c>
      <c r="DO8" s="54" t="str">
        <f t="shared" si="21"/>
        <v>-</v>
      </c>
      <c r="DP8" s="49"/>
      <c r="DQ8" s="54">
        <f t="shared" si="22"/>
        <v>0.88070488430940641</v>
      </c>
      <c r="DR8" s="54">
        <f t="shared" si="22"/>
        <v>0.10152737070142542</v>
      </c>
      <c r="DS8" s="54">
        <f t="shared" si="23"/>
        <v>1.7767744989168232E-2</v>
      </c>
      <c r="DT8" s="54" t="str">
        <f t="shared" si="23"/>
        <v>-</v>
      </c>
      <c r="DU8" s="49"/>
      <c r="DV8" s="54">
        <f t="shared" si="24"/>
        <v>0.90244204913034942</v>
      </c>
      <c r="DW8" s="54">
        <f t="shared" si="24"/>
        <v>6.1934830462056785E-2</v>
      </c>
      <c r="DX8" s="54">
        <f t="shared" si="25"/>
        <v>3.5623120407593814E-2</v>
      </c>
      <c r="DY8" s="54" t="str">
        <f t="shared" si="25"/>
        <v>-</v>
      </c>
      <c r="DZ8" s="49"/>
      <c r="EA8" s="54">
        <f t="shared" si="26"/>
        <v>0.99797436524290151</v>
      </c>
      <c r="EB8" s="54">
        <f t="shared" si="26"/>
        <v>5.5879579506164223E-4</v>
      </c>
      <c r="EC8" s="54">
        <f t="shared" si="27"/>
        <v>1.4668389620368107E-3</v>
      </c>
      <c r="ED8" s="54" t="str">
        <f t="shared" si="27"/>
        <v>-</v>
      </c>
      <c r="EE8" s="49"/>
      <c r="EF8" s="55">
        <f t="shared" si="28"/>
        <v>0.13007675683732023</v>
      </c>
      <c r="EG8" s="55">
        <f t="shared" si="29"/>
        <v>3.7116729424421735E-2</v>
      </c>
      <c r="EH8" s="55">
        <f t="shared" si="30"/>
        <v>4.4218254630402139E-2</v>
      </c>
      <c r="EI8" s="55">
        <f t="shared" si="31"/>
        <v>9.375E-2</v>
      </c>
      <c r="EJ8" s="55">
        <f t="shared" si="32"/>
        <v>0.10317377731529657</v>
      </c>
      <c r="EK8" s="49"/>
      <c r="EL8" s="56">
        <f t="shared" si="33"/>
        <v>1.3743345546338803E-3</v>
      </c>
      <c r="EM8" s="56">
        <f t="shared" si="33"/>
        <v>3.6377091504870937E-2</v>
      </c>
      <c r="EN8" s="56">
        <f t="shared" si="34"/>
        <v>0.21955677404615034</v>
      </c>
      <c r="EO8" s="56" t="str">
        <f t="shared" si="34"/>
        <v>-</v>
      </c>
      <c r="EP8" s="56">
        <f t="shared" si="34"/>
        <v>7.9008831106344157E-3</v>
      </c>
      <c r="EQ8" s="46"/>
      <c r="ER8" s="56">
        <f t="shared" si="35"/>
        <v>1.0047920853300355E-4</v>
      </c>
      <c r="ES8" s="57">
        <f t="shared" si="35"/>
        <v>2.2878008793501749E-2</v>
      </c>
      <c r="ET8" s="57">
        <f t="shared" si="36"/>
        <v>0.13562514716270307</v>
      </c>
      <c r="EU8" s="57" t="str">
        <f t="shared" si="36"/>
        <v>-</v>
      </c>
      <c r="EV8" s="57">
        <f t="shared" si="36"/>
        <v>4.1953457882661421E-3</v>
      </c>
      <c r="EW8" s="49"/>
      <c r="EX8" s="56">
        <f t="shared" si="37"/>
        <v>9.5842036163702772E-3</v>
      </c>
      <c r="EY8" s="57">
        <f t="shared" si="37"/>
        <v>9.5272619230274122E-2</v>
      </c>
      <c r="EZ8" s="57">
        <f t="shared" si="38"/>
        <v>0.39344262295081961</v>
      </c>
      <c r="FA8" s="57" t="str">
        <f t="shared" si="38"/>
        <v>-</v>
      </c>
      <c r="FB8" s="57">
        <f t="shared" si="38"/>
        <v>2.5104221659900602E-2</v>
      </c>
      <c r="FC8" s="49"/>
      <c r="FD8" s="56">
        <f t="shared" si="39"/>
        <v>1.3169497154243441E-3</v>
      </c>
      <c r="FE8" s="57">
        <f t="shared" si="39"/>
        <v>4.2049057233439005E-2</v>
      </c>
      <c r="FF8" s="57">
        <f t="shared" si="40"/>
        <v>0.27444154337104726</v>
      </c>
      <c r="FG8" s="57" t="str">
        <f t="shared" si="40"/>
        <v>-</v>
      </c>
      <c r="FH8" s="57">
        <f t="shared" si="40"/>
        <v>1.3569236174984241E-2</v>
      </c>
      <c r="FI8" s="49"/>
      <c r="FJ8" s="56">
        <f t="shared" si="41"/>
        <v>2.7996500437445319E-4</v>
      </c>
      <c r="FK8" s="56">
        <f t="shared" si="41"/>
        <v>3.125E-2</v>
      </c>
      <c r="FL8" s="56">
        <f t="shared" si="42"/>
        <v>0.19047619047619047</v>
      </c>
      <c r="FM8" s="56" t="str">
        <f t="shared" si="42"/>
        <v>-</v>
      </c>
      <c r="FN8" s="56">
        <f t="shared" si="42"/>
        <v>5.7625816365731856E-4</v>
      </c>
      <c r="FP8" s="59">
        <v>-167</v>
      </c>
      <c r="FQ8" s="59">
        <f>948+203</f>
        <v>1151</v>
      </c>
      <c r="FR8" s="59">
        <v>306</v>
      </c>
      <c r="FS8" s="59">
        <f>-53+54</f>
        <v>1</v>
      </c>
      <c r="FT8" s="60">
        <f t="shared" ref="FT8:FT16" si="56">SUM(FP8:FS8)</f>
        <v>1291</v>
      </c>
      <c r="FV8" s="61">
        <f t="shared" si="43"/>
        <v>-5.7617002190826132E-4</v>
      </c>
      <c r="FW8" s="61">
        <f t="shared" si="44"/>
        <v>2.0953559920627696E-2</v>
      </c>
      <c r="FX8" s="61">
        <f t="shared" si="45"/>
        <v>3.1623657803085893E-3</v>
      </c>
      <c r="FY8" s="61">
        <f t="shared" si="46"/>
        <v>1.746236859567632E-5</v>
      </c>
      <c r="FZ8" s="61">
        <f t="shared" si="47"/>
        <v>2.5881857639759023E-3</v>
      </c>
      <c r="GB8" s="62">
        <v>89</v>
      </c>
      <c r="GC8" s="50" t="s">
        <v>230</v>
      </c>
      <c r="GD8" s="50" t="s">
        <v>230</v>
      </c>
      <c r="GE8" s="50" t="s">
        <v>230</v>
      </c>
      <c r="GF8" s="63">
        <v>1882</v>
      </c>
      <c r="GH8" s="61">
        <f t="shared" si="49"/>
        <v>3.0706067035829492E-4</v>
      </c>
      <c r="GI8" s="61" t="str">
        <f t="shared" si="50"/>
        <v>-</v>
      </c>
      <c r="GJ8" s="61" t="str">
        <f t="shared" si="51"/>
        <v>-</v>
      </c>
      <c r="GK8" s="61" t="str">
        <f t="shared" si="52"/>
        <v>-</v>
      </c>
      <c r="GL8" s="61">
        <f t="shared" si="53"/>
        <v>3.7730175118533293E-3</v>
      </c>
      <c r="GN8" s="42">
        <f t="shared" si="54"/>
        <v>2019.002</v>
      </c>
      <c r="GO8" s="42">
        <f t="shared" si="55"/>
        <v>505371.99999999988</v>
      </c>
    </row>
    <row r="9" spans="1:197" s="38" customFormat="1" x14ac:dyDescent="0.25">
      <c r="A9" s="82" t="s">
        <v>231</v>
      </c>
      <c r="B9" s="27"/>
      <c r="C9" s="28">
        <f t="shared" si="0"/>
        <v>195.51</v>
      </c>
      <c r="D9" s="28">
        <f t="shared" si="0"/>
        <v>25.594999999999999</v>
      </c>
      <c r="E9" s="28">
        <f t="shared" si="0"/>
        <v>24.776</v>
      </c>
      <c r="F9" s="28">
        <f t="shared" si="0"/>
        <v>0.81900000000000006</v>
      </c>
      <c r="G9" s="28">
        <f t="shared" si="0"/>
        <v>3.5750000000000002</v>
      </c>
      <c r="H9" s="28" t="str">
        <f t="shared" si="0"/>
        <v>-</v>
      </c>
      <c r="I9" s="28">
        <f t="shared" si="0"/>
        <v>224.68</v>
      </c>
      <c r="J9" s="28"/>
      <c r="K9" s="28">
        <f t="shared" si="1"/>
        <v>195.51</v>
      </c>
      <c r="L9" s="28">
        <f t="shared" si="1"/>
        <v>25.594999999999999</v>
      </c>
      <c r="M9" s="28">
        <f t="shared" si="1"/>
        <v>24.776</v>
      </c>
      <c r="N9" s="28">
        <f t="shared" si="1"/>
        <v>0.81900000000000006</v>
      </c>
      <c r="O9" s="28">
        <f t="shared" si="1"/>
        <v>3.5750000000000002</v>
      </c>
      <c r="P9" s="28" t="str">
        <f t="shared" si="1"/>
        <v>-</v>
      </c>
      <c r="Q9" s="28">
        <f t="shared" si="1"/>
        <v>224.68</v>
      </c>
      <c r="R9" s="28"/>
      <c r="S9" s="64">
        <v>126.10899999999999</v>
      </c>
      <c r="T9" s="64">
        <v>16.369</v>
      </c>
      <c r="U9" s="33">
        <f>T9-V9</f>
        <v>15.725999999999999</v>
      </c>
      <c r="V9" s="64">
        <v>0.64300000000000002</v>
      </c>
      <c r="W9" s="64">
        <v>1.099</v>
      </c>
      <c r="X9" s="64">
        <v>0</v>
      </c>
      <c r="Y9" s="30">
        <f t="shared" si="2"/>
        <v>143.577</v>
      </c>
      <c r="Z9" s="30"/>
      <c r="AA9" s="64">
        <v>16.471</v>
      </c>
      <c r="AB9" s="64">
        <v>6.3090000000000002</v>
      </c>
      <c r="AC9" s="33">
        <f>AB9-AD9</f>
        <v>6.1450000000000005</v>
      </c>
      <c r="AD9" s="64">
        <v>0.16400000000000001</v>
      </c>
      <c r="AE9" s="64">
        <v>1.28</v>
      </c>
      <c r="AF9" s="64">
        <v>0</v>
      </c>
      <c r="AG9" s="30">
        <f t="shared" si="3"/>
        <v>24.060000000000002</v>
      </c>
      <c r="AH9" s="30"/>
      <c r="AI9" s="65">
        <v>28.43</v>
      </c>
      <c r="AJ9" s="65">
        <v>2.9169999999999998</v>
      </c>
      <c r="AK9" s="66">
        <f t="shared" si="4"/>
        <v>2.9049999999999998</v>
      </c>
      <c r="AL9" s="65">
        <v>1.2E-2</v>
      </c>
      <c r="AM9" s="65">
        <v>1.196</v>
      </c>
      <c r="AN9" s="65">
        <v>0</v>
      </c>
      <c r="AO9" s="30">
        <f t="shared" si="5"/>
        <v>32.542999999999999</v>
      </c>
      <c r="AP9" s="30"/>
      <c r="AQ9" s="29">
        <v>24.5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30">
        <f t="shared" si="6"/>
        <v>24.5</v>
      </c>
      <c r="AX9" s="30"/>
      <c r="AY9" s="29" t="s">
        <v>230</v>
      </c>
      <c r="AZ9" s="29" t="s">
        <v>230</v>
      </c>
      <c r="BA9" s="29" t="s">
        <v>230</v>
      </c>
      <c r="BB9" s="29" t="s">
        <v>230</v>
      </c>
      <c r="BC9" s="29" t="s">
        <v>230</v>
      </c>
      <c r="BD9" s="29" t="s">
        <v>230</v>
      </c>
      <c r="BE9" s="30">
        <f t="shared" si="7"/>
        <v>0</v>
      </c>
      <c r="BF9" s="30"/>
      <c r="BG9" s="28">
        <f t="shared" si="8"/>
        <v>227</v>
      </c>
      <c r="BH9" s="28">
        <f t="shared" si="8"/>
        <v>1374</v>
      </c>
      <c r="BI9" s="28">
        <f t="shared" si="9"/>
        <v>1083</v>
      </c>
      <c r="BJ9" s="28" t="str">
        <f t="shared" si="9"/>
        <v>-</v>
      </c>
      <c r="BK9" s="28">
        <f t="shared" si="9"/>
        <v>2684</v>
      </c>
      <c r="BL9" s="28"/>
      <c r="BM9" s="28">
        <f t="shared" si="10"/>
        <v>227</v>
      </c>
      <c r="BN9" s="28">
        <f t="shared" si="10"/>
        <v>1374</v>
      </c>
      <c r="BO9" s="28">
        <f t="shared" si="11"/>
        <v>1083</v>
      </c>
      <c r="BP9" s="28" t="str">
        <f t="shared" si="11"/>
        <v>-</v>
      </c>
      <c r="BQ9" s="28">
        <f t="shared" si="11"/>
        <v>2684</v>
      </c>
      <c r="BR9" s="28"/>
      <c r="BS9" s="64">
        <v>6</v>
      </c>
      <c r="BT9" s="64">
        <v>24</v>
      </c>
      <c r="BU9" s="33">
        <f>BT9-BV9</f>
        <v>18</v>
      </c>
      <c r="BV9" s="29">
        <v>6</v>
      </c>
      <c r="BW9" s="64">
        <v>55</v>
      </c>
      <c r="BX9" s="64">
        <v>0</v>
      </c>
      <c r="BY9" s="30">
        <f t="shared" si="12"/>
        <v>85</v>
      </c>
      <c r="BZ9" s="28"/>
      <c r="CA9" s="64">
        <f>180+11</f>
        <v>191</v>
      </c>
      <c r="CB9" s="64">
        <f>1223+59</f>
        <v>1282</v>
      </c>
      <c r="CC9" s="67">
        <f>CB9-CD9</f>
        <v>1188.7064595257564</v>
      </c>
      <c r="CD9" s="64">
        <f>CB9*89/1223</f>
        <v>93.293540474243656</v>
      </c>
      <c r="CE9" s="64">
        <f>864+0</f>
        <v>864</v>
      </c>
      <c r="CF9" s="64">
        <v>0</v>
      </c>
      <c r="CG9" s="30">
        <f t="shared" si="13"/>
        <v>2337</v>
      </c>
      <c r="CH9" s="30"/>
      <c r="CI9" s="64">
        <v>27</v>
      </c>
      <c r="CJ9" s="64">
        <v>68</v>
      </c>
      <c r="CK9" s="67">
        <f t="shared" si="14"/>
        <v>66</v>
      </c>
      <c r="CL9" s="29">
        <v>2</v>
      </c>
      <c r="CM9" s="64">
        <v>164</v>
      </c>
      <c r="CN9" s="64">
        <v>0</v>
      </c>
      <c r="CO9" s="30">
        <f t="shared" si="15"/>
        <v>259</v>
      </c>
      <c r="CP9" s="30"/>
      <c r="CQ9" s="29">
        <v>3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30">
        <f t="shared" si="16"/>
        <v>3</v>
      </c>
      <c r="CX9" s="30"/>
      <c r="CY9" s="29" t="s">
        <v>230</v>
      </c>
      <c r="CZ9" s="29" t="s">
        <v>230</v>
      </c>
      <c r="DA9" s="29" t="s">
        <v>230</v>
      </c>
      <c r="DB9" s="29" t="s">
        <v>230</v>
      </c>
      <c r="DC9" s="29" t="s">
        <v>230</v>
      </c>
      <c r="DD9" s="29" t="s">
        <v>230</v>
      </c>
      <c r="DE9" s="30">
        <f t="shared" si="17"/>
        <v>0</v>
      </c>
      <c r="DF9" s="30"/>
      <c r="DG9" s="34">
        <f t="shared" si="18"/>
        <v>0.87017090973829436</v>
      </c>
      <c r="DH9" s="34">
        <f t="shared" si="18"/>
        <v>0.11391757165746839</v>
      </c>
      <c r="DI9" s="34">
        <f t="shared" si="19"/>
        <v>1.5911518604237139E-2</v>
      </c>
      <c r="DJ9" s="34" t="str">
        <f t="shared" si="19"/>
        <v>-</v>
      </c>
      <c r="DK9" s="30"/>
      <c r="DL9" s="34">
        <f t="shared" si="20"/>
        <v>0.87833705955689279</v>
      </c>
      <c r="DM9" s="34">
        <f t="shared" si="20"/>
        <v>0.1140085111125041</v>
      </c>
      <c r="DN9" s="34">
        <f t="shared" si="21"/>
        <v>7.6544293306030908E-3</v>
      </c>
      <c r="DO9" s="34" t="str">
        <f t="shared" si="21"/>
        <v>-</v>
      </c>
      <c r="DP9" s="30"/>
      <c r="DQ9" s="34">
        <f t="shared" si="22"/>
        <v>0.68458021612635078</v>
      </c>
      <c r="DR9" s="34">
        <f t="shared" si="22"/>
        <v>0.26221945137157104</v>
      </c>
      <c r="DS9" s="34">
        <f t="shared" si="23"/>
        <v>5.3200332502078132E-2</v>
      </c>
      <c r="DT9" s="34" t="str">
        <f t="shared" si="23"/>
        <v>-</v>
      </c>
      <c r="DU9" s="30"/>
      <c r="DV9" s="34">
        <f t="shared" si="24"/>
        <v>0.87361337307562303</v>
      </c>
      <c r="DW9" s="34">
        <f t="shared" si="24"/>
        <v>8.9635251820668033E-2</v>
      </c>
      <c r="DX9" s="34">
        <f t="shared" si="25"/>
        <v>3.675137510370894E-2</v>
      </c>
      <c r="DY9" s="34" t="str">
        <f t="shared" si="25"/>
        <v>-</v>
      </c>
      <c r="DZ9" s="30"/>
      <c r="EA9" s="34">
        <f t="shared" si="26"/>
        <v>1</v>
      </c>
      <c r="EB9" s="34" t="str">
        <f t="shared" si="26"/>
        <v>-</v>
      </c>
      <c r="EC9" s="34" t="str">
        <f t="shared" si="27"/>
        <v>-</v>
      </c>
      <c r="ED9" s="34" t="str">
        <f t="shared" si="27"/>
        <v>-</v>
      </c>
      <c r="EE9" s="30"/>
      <c r="EF9" s="35">
        <f t="shared" si="28"/>
        <v>3.928156881910929E-2</v>
      </c>
      <c r="EG9" s="35">
        <f t="shared" si="29"/>
        <v>2.5994610873355525E-2</v>
      </c>
      <c r="EH9" s="35">
        <f t="shared" si="30"/>
        <v>4.1138155639355509E-3</v>
      </c>
      <c r="EI9" s="35" t="str">
        <f t="shared" si="31"/>
        <v>-</v>
      </c>
      <c r="EJ9" s="35">
        <f t="shared" si="32"/>
        <v>3.1998437194764605E-2</v>
      </c>
      <c r="EK9" s="30"/>
      <c r="EL9" s="36">
        <f t="shared" si="33"/>
        <v>1.1610659301314512E-3</v>
      </c>
      <c r="EM9" s="36">
        <f t="shared" si="33"/>
        <v>5.3682359835905455E-2</v>
      </c>
      <c r="EN9" s="36">
        <f t="shared" si="34"/>
        <v>0.30293706293706291</v>
      </c>
      <c r="EO9" s="36" t="str">
        <f t="shared" si="34"/>
        <v>-</v>
      </c>
      <c r="EP9" s="36">
        <f t="shared" si="34"/>
        <v>1.194587858287342E-2</v>
      </c>
      <c r="EQ9" s="28"/>
      <c r="ER9" s="36">
        <f t="shared" si="35"/>
        <v>4.7577888969066445E-5</v>
      </c>
      <c r="ES9" s="37">
        <f t="shared" si="35"/>
        <v>1.4661860834504245E-3</v>
      </c>
      <c r="ET9" s="37">
        <f t="shared" si="36"/>
        <v>5.0045495905368519E-2</v>
      </c>
      <c r="EU9" s="37" t="str">
        <f t="shared" si="36"/>
        <v>-</v>
      </c>
      <c r="EV9" s="37">
        <f t="shared" si="36"/>
        <v>5.9201682720770045E-4</v>
      </c>
      <c r="EW9" s="30"/>
      <c r="EX9" s="36">
        <f t="shared" si="37"/>
        <v>1.1596138667961872E-2</v>
      </c>
      <c r="EY9" s="37">
        <f t="shared" si="37"/>
        <v>0.20320177524171817</v>
      </c>
      <c r="EZ9" s="37">
        <f t="shared" si="38"/>
        <v>0.67500000000000004</v>
      </c>
      <c r="FA9" s="37" t="str">
        <f t="shared" si="38"/>
        <v>-</v>
      </c>
      <c r="FB9" s="37">
        <f t="shared" si="38"/>
        <v>9.7132169576059843E-2</v>
      </c>
      <c r="FC9" s="30"/>
      <c r="FD9" s="36">
        <f t="shared" si="39"/>
        <v>9.4970102004924368E-4</v>
      </c>
      <c r="FE9" s="37">
        <f t="shared" si="39"/>
        <v>2.3311621528968117E-2</v>
      </c>
      <c r="FF9" s="37">
        <f t="shared" si="40"/>
        <v>0.13712374581939801</v>
      </c>
      <c r="FG9" s="37" t="str">
        <f t="shared" si="40"/>
        <v>-</v>
      </c>
      <c r="FH9" s="37">
        <f t="shared" si="40"/>
        <v>7.958700795870079E-3</v>
      </c>
      <c r="FI9" s="30"/>
      <c r="FJ9" s="36">
        <f t="shared" si="41"/>
        <v>1.2244897959183673E-4</v>
      </c>
      <c r="FK9" s="36" t="str">
        <f t="shared" si="41"/>
        <v>-</v>
      </c>
      <c r="FL9" s="36" t="str">
        <f t="shared" si="42"/>
        <v>-</v>
      </c>
      <c r="FM9" s="36" t="str">
        <f t="shared" si="42"/>
        <v>-</v>
      </c>
      <c r="FN9" s="36">
        <f t="shared" si="42"/>
        <v>1.2244897959183673E-4</v>
      </c>
      <c r="FP9" s="68">
        <v>6</v>
      </c>
      <c r="FQ9" s="68">
        <f>807-51+16</f>
        <v>772</v>
      </c>
      <c r="FR9" s="68">
        <v>56</v>
      </c>
      <c r="FS9" s="69">
        <f>-127+2</f>
        <v>-125</v>
      </c>
      <c r="FT9" s="43">
        <f t="shared" si="56"/>
        <v>709</v>
      </c>
      <c r="FV9" s="40">
        <f t="shared" si="43"/>
        <v>4.1789423097014146E-5</v>
      </c>
      <c r="FW9" s="40">
        <f t="shared" si="44"/>
        <v>3.2086450540315871E-2</v>
      </c>
      <c r="FX9" s="40">
        <f t="shared" si="45"/>
        <v>1.7208001720800173E-3</v>
      </c>
      <c r="FY9" s="40">
        <f t="shared" si="46"/>
        <v>-5.1020408163265302E-3</v>
      </c>
      <c r="FZ9" s="40">
        <f t="shared" si="47"/>
        <v>3.1555990742389173E-3</v>
      </c>
      <c r="GB9" s="69">
        <v>5</v>
      </c>
      <c r="GC9" s="69">
        <v>525</v>
      </c>
      <c r="GD9" s="69">
        <v>58</v>
      </c>
      <c r="GE9" s="69"/>
      <c r="GF9" s="41">
        <f t="shared" si="48"/>
        <v>588</v>
      </c>
      <c r="GH9" s="40">
        <f t="shared" si="49"/>
        <v>3.4824519247511786E-5</v>
      </c>
      <c r="GI9" s="40">
        <f t="shared" si="50"/>
        <v>2.1820448877805487E-2</v>
      </c>
      <c r="GJ9" s="40">
        <f t="shared" si="51"/>
        <v>1.7822573210828749E-3</v>
      </c>
      <c r="GK9" s="40" t="str">
        <f t="shared" si="52"/>
        <v>-</v>
      </c>
      <c r="GL9" s="40">
        <f t="shared" si="53"/>
        <v>2.6170553676339685E-3</v>
      </c>
      <c r="GN9" s="42">
        <f t="shared" si="54"/>
        <v>1601</v>
      </c>
      <c r="GO9" s="42">
        <f t="shared" si="55"/>
        <v>221105</v>
      </c>
    </row>
    <row r="10" spans="1:197" s="58" customFormat="1" x14ac:dyDescent="0.25">
      <c r="A10" s="82" t="s">
        <v>242</v>
      </c>
      <c r="B10" s="44"/>
      <c r="C10" s="45">
        <f t="shared" si="0"/>
        <v>260.74599999999998</v>
      </c>
      <c r="D10" s="45">
        <f t="shared" si="0"/>
        <v>11.68</v>
      </c>
      <c r="E10" s="45" t="str">
        <f t="shared" si="0"/>
        <v>-</v>
      </c>
      <c r="F10" s="45" t="str">
        <f t="shared" si="0"/>
        <v>-</v>
      </c>
      <c r="G10" s="45">
        <f t="shared" si="0"/>
        <v>2.2890000000000001</v>
      </c>
      <c r="H10" s="45" t="str">
        <f t="shared" si="0"/>
        <v>-</v>
      </c>
      <c r="I10" s="45">
        <f t="shared" si="0"/>
        <v>274.71499999999997</v>
      </c>
      <c r="J10" s="45"/>
      <c r="K10" s="45">
        <f t="shared" si="1"/>
        <v>191.387</v>
      </c>
      <c r="L10" s="45">
        <f t="shared" si="1"/>
        <v>11.651</v>
      </c>
      <c r="M10" s="45" t="str">
        <f t="shared" si="1"/>
        <v>-</v>
      </c>
      <c r="N10" s="45" t="str">
        <f t="shared" si="1"/>
        <v>-</v>
      </c>
      <c r="O10" s="45">
        <f t="shared" si="1"/>
        <v>2.2709999999999999</v>
      </c>
      <c r="P10" s="45" t="str">
        <f t="shared" si="1"/>
        <v>-</v>
      </c>
      <c r="Q10" s="45">
        <f t="shared" si="1"/>
        <v>205.309</v>
      </c>
      <c r="R10" s="45"/>
      <c r="S10" s="47">
        <v>155.477</v>
      </c>
      <c r="T10" s="47">
        <v>8.157</v>
      </c>
      <c r="U10" s="50" t="s">
        <v>230</v>
      </c>
      <c r="V10" s="50" t="s">
        <v>230</v>
      </c>
      <c r="W10" s="47">
        <v>1.722</v>
      </c>
      <c r="X10" s="47">
        <v>0</v>
      </c>
      <c r="Y10" s="49">
        <f t="shared" si="2"/>
        <v>165.35600000000002</v>
      </c>
      <c r="Z10" s="49"/>
      <c r="AA10" s="47">
        <f>169.003-S10</f>
        <v>13.525999999999982</v>
      </c>
      <c r="AB10" s="47">
        <f>9.459-T10</f>
        <v>1.3019999999999996</v>
      </c>
      <c r="AC10" s="50" t="s">
        <v>230</v>
      </c>
      <c r="AD10" s="50" t="s">
        <v>230</v>
      </c>
      <c r="AE10" s="47">
        <f>1.936-W10</f>
        <v>0.21399999999999997</v>
      </c>
      <c r="AF10" s="47">
        <v>0</v>
      </c>
      <c r="AG10" s="49">
        <f t="shared" si="3"/>
        <v>15.041999999999982</v>
      </c>
      <c r="AH10" s="49"/>
      <c r="AI10" s="51">
        <f>14.068+3.916</f>
        <v>17.983999999999998</v>
      </c>
      <c r="AJ10" s="51">
        <f>1.894+0.198</f>
        <v>2.0920000000000001</v>
      </c>
      <c r="AK10" s="70" t="s">
        <v>230</v>
      </c>
      <c r="AL10" s="70" t="s">
        <v>230</v>
      </c>
      <c r="AM10" s="51">
        <v>0.33500000000000002</v>
      </c>
      <c r="AN10" s="51">
        <v>0</v>
      </c>
      <c r="AO10" s="49">
        <f t="shared" si="5"/>
        <v>20.410999999999998</v>
      </c>
      <c r="AP10" s="49"/>
      <c r="AQ10" s="47">
        <v>4.4000000000000004</v>
      </c>
      <c r="AR10" s="47">
        <v>0.1</v>
      </c>
      <c r="AS10" s="50" t="s">
        <v>230</v>
      </c>
      <c r="AT10" s="50" t="s">
        <v>230</v>
      </c>
      <c r="AU10" s="47">
        <v>0</v>
      </c>
      <c r="AV10" s="47">
        <v>0</v>
      </c>
      <c r="AW10" s="49">
        <f t="shared" si="6"/>
        <v>4.5</v>
      </c>
      <c r="AX10" s="49"/>
      <c r="AY10" s="50">
        <f>260.746-SUM(AQ10,AI10,AA10,S10)</f>
        <v>69.35899999999998</v>
      </c>
      <c r="AZ10" s="50">
        <f>11.68-SUM(AR10,AJ10,AB10,T10)</f>
        <v>2.8999999999999915E-2</v>
      </c>
      <c r="BA10" s="50" t="s">
        <v>230</v>
      </c>
      <c r="BB10" s="50" t="s">
        <v>230</v>
      </c>
      <c r="BC10" s="50">
        <f>2.289-SUM(AU10,AM10,AE10,W10)</f>
        <v>1.8000000000000238E-2</v>
      </c>
      <c r="BD10" s="50">
        <v>0</v>
      </c>
      <c r="BE10" s="49">
        <f t="shared" si="7"/>
        <v>69.405999999999977</v>
      </c>
      <c r="BF10" s="49"/>
      <c r="BG10" s="45">
        <f t="shared" si="8"/>
        <v>147</v>
      </c>
      <c r="BH10" s="45">
        <f t="shared" si="8"/>
        <v>348</v>
      </c>
      <c r="BI10" s="45">
        <f t="shared" si="9"/>
        <v>368</v>
      </c>
      <c r="BJ10" s="45" t="str">
        <f t="shared" si="9"/>
        <v>-</v>
      </c>
      <c r="BK10" s="45">
        <f t="shared" si="9"/>
        <v>863</v>
      </c>
      <c r="BL10" s="45"/>
      <c r="BM10" s="45">
        <f t="shared" si="10"/>
        <v>147</v>
      </c>
      <c r="BN10" s="45">
        <f t="shared" si="10"/>
        <v>348</v>
      </c>
      <c r="BO10" s="45">
        <f t="shared" si="11"/>
        <v>368</v>
      </c>
      <c r="BP10" s="45" t="str">
        <f t="shared" si="11"/>
        <v>-</v>
      </c>
      <c r="BQ10" s="45">
        <f t="shared" si="11"/>
        <v>863</v>
      </c>
      <c r="BR10" s="45"/>
      <c r="BS10" s="47">
        <f>11+3</f>
        <v>14</v>
      </c>
      <c r="BT10" s="47">
        <f>100+1</f>
        <v>101</v>
      </c>
      <c r="BU10" s="50" t="s">
        <v>230</v>
      </c>
      <c r="BV10" s="50" t="s">
        <v>230</v>
      </c>
      <c r="BW10" s="47">
        <v>103</v>
      </c>
      <c r="BX10" s="47"/>
      <c r="BY10" s="49">
        <f t="shared" si="12"/>
        <v>218</v>
      </c>
      <c r="BZ10" s="45"/>
      <c r="CA10" s="47">
        <f>85+13-BS10</f>
        <v>84</v>
      </c>
      <c r="CB10" s="47">
        <f>255+13-BT10</f>
        <v>167</v>
      </c>
      <c r="CC10" s="50" t="s">
        <v>230</v>
      </c>
      <c r="CD10" s="50" t="s">
        <v>230</v>
      </c>
      <c r="CE10" s="47">
        <f>224+1-BW10</f>
        <v>122</v>
      </c>
      <c r="CF10" s="47">
        <v>0</v>
      </c>
      <c r="CG10" s="49">
        <f t="shared" si="13"/>
        <v>373</v>
      </c>
      <c r="CH10" s="49"/>
      <c r="CI10" s="47">
        <f>34+2+7+3</f>
        <v>46</v>
      </c>
      <c r="CJ10" s="47">
        <f>35+12+6+24</f>
        <v>77</v>
      </c>
      <c r="CK10" s="50" t="s">
        <v>230</v>
      </c>
      <c r="CL10" s="50" t="s">
        <v>230</v>
      </c>
      <c r="CM10" s="47">
        <f>126+2+9</f>
        <v>137</v>
      </c>
      <c r="CN10" s="47">
        <v>0</v>
      </c>
      <c r="CO10" s="49">
        <f t="shared" si="15"/>
        <v>260</v>
      </c>
      <c r="CP10" s="49"/>
      <c r="CQ10" s="47">
        <v>3</v>
      </c>
      <c r="CR10" s="47">
        <v>3</v>
      </c>
      <c r="CS10" s="50" t="s">
        <v>230</v>
      </c>
      <c r="CT10" s="50" t="s">
        <v>230</v>
      </c>
      <c r="CU10" s="47">
        <v>6</v>
      </c>
      <c r="CV10" s="47">
        <v>0</v>
      </c>
      <c r="CW10" s="49">
        <f t="shared" si="16"/>
        <v>12</v>
      </c>
      <c r="CX10" s="49"/>
      <c r="CY10" s="50" t="s">
        <v>230</v>
      </c>
      <c r="CZ10" s="50" t="s">
        <v>230</v>
      </c>
      <c r="DA10" s="50" t="s">
        <v>230</v>
      </c>
      <c r="DB10" s="50" t="s">
        <v>230</v>
      </c>
      <c r="DC10" s="50" t="s">
        <v>230</v>
      </c>
      <c r="DD10" s="50" t="s">
        <v>230</v>
      </c>
      <c r="DE10" s="49">
        <f t="shared" si="17"/>
        <v>0</v>
      </c>
      <c r="DF10" s="49"/>
      <c r="DG10" s="54">
        <f t="shared" si="18"/>
        <v>0.93219001602462626</v>
      </c>
      <c r="DH10" s="54">
        <f t="shared" si="18"/>
        <v>5.674860819545173E-2</v>
      </c>
      <c r="DI10" s="54">
        <f t="shared" si="19"/>
        <v>1.1061375779921971E-2</v>
      </c>
      <c r="DJ10" s="54" t="str">
        <f t="shared" si="19"/>
        <v>-</v>
      </c>
      <c r="DK10" s="49"/>
      <c r="DL10" s="54">
        <f t="shared" si="20"/>
        <v>0.94025617455671384</v>
      </c>
      <c r="DM10" s="54">
        <f t="shared" si="20"/>
        <v>4.9329930574034196E-2</v>
      </c>
      <c r="DN10" s="54">
        <f t="shared" si="21"/>
        <v>1.0413894869251794E-2</v>
      </c>
      <c r="DO10" s="54" t="str">
        <f t="shared" si="21"/>
        <v>-</v>
      </c>
      <c r="DP10" s="49"/>
      <c r="DQ10" s="54">
        <f t="shared" si="22"/>
        <v>0.89921552984975395</v>
      </c>
      <c r="DR10" s="54">
        <f t="shared" si="22"/>
        <v>8.6557638611886797E-2</v>
      </c>
      <c r="DS10" s="54">
        <f t="shared" si="23"/>
        <v>1.4226831538359276E-2</v>
      </c>
      <c r="DT10" s="54" t="str">
        <f t="shared" si="23"/>
        <v>-</v>
      </c>
      <c r="DU10" s="49"/>
      <c r="DV10" s="54">
        <f t="shared" si="24"/>
        <v>0.88109352799960805</v>
      </c>
      <c r="DW10" s="54">
        <f t="shared" si="24"/>
        <v>0.10249375336828183</v>
      </c>
      <c r="DX10" s="54">
        <f t="shared" si="25"/>
        <v>1.6412718632110138E-2</v>
      </c>
      <c r="DY10" s="54" t="str">
        <f t="shared" si="25"/>
        <v>-</v>
      </c>
      <c r="DZ10" s="49"/>
      <c r="EA10" s="54">
        <f t="shared" si="26"/>
        <v>0.97777777777777786</v>
      </c>
      <c r="EB10" s="54">
        <f t="shared" si="26"/>
        <v>2.2222222222222223E-2</v>
      </c>
      <c r="EC10" s="54" t="str">
        <f t="shared" si="27"/>
        <v>-</v>
      </c>
      <c r="ED10" s="54" t="str">
        <f t="shared" si="27"/>
        <v>-</v>
      </c>
      <c r="EE10" s="49"/>
      <c r="EF10" s="55" t="str">
        <f t="shared" si="28"/>
        <v>-</v>
      </c>
      <c r="EG10" s="55" t="str">
        <f t="shared" si="29"/>
        <v>-</v>
      </c>
      <c r="EH10" s="55" t="str">
        <f t="shared" si="30"/>
        <v>-</v>
      </c>
      <c r="EI10" s="55" t="str">
        <f t="shared" si="31"/>
        <v>-</v>
      </c>
      <c r="EJ10" s="55" t="str">
        <f t="shared" si="32"/>
        <v>-</v>
      </c>
      <c r="EK10" s="49"/>
      <c r="EL10" s="56">
        <f t="shared" si="33"/>
        <v>7.6807724662594638E-4</v>
      </c>
      <c r="EM10" s="56">
        <f t="shared" si="33"/>
        <v>2.9868680799931338E-2</v>
      </c>
      <c r="EN10" s="56">
        <f t="shared" si="34"/>
        <v>0.16204315279612508</v>
      </c>
      <c r="EO10" s="56" t="str">
        <f t="shared" si="34"/>
        <v>-</v>
      </c>
      <c r="EP10" s="56">
        <f t="shared" si="34"/>
        <v>4.2034202105119605E-3</v>
      </c>
      <c r="EQ10" s="45"/>
      <c r="ER10" s="56">
        <f t="shared" si="35"/>
        <v>9.004547296384674E-5</v>
      </c>
      <c r="ES10" s="57">
        <f t="shared" si="35"/>
        <v>1.2382003187446365E-2</v>
      </c>
      <c r="ET10" s="57">
        <f t="shared" si="36"/>
        <v>5.9814169570267132E-2</v>
      </c>
      <c r="EU10" s="57" t="str">
        <f t="shared" si="36"/>
        <v>-</v>
      </c>
      <c r="EV10" s="57">
        <f t="shared" si="36"/>
        <v>1.3183676431456977E-3</v>
      </c>
      <c r="EW10" s="49"/>
      <c r="EX10" s="56">
        <f t="shared" si="37"/>
        <v>6.2102617181724164E-3</v>
      </c>
      <c r="EY10" s="57">
        <f t="shared" si="37"/>
        <v>0.12826420890937024</v>
      </c>
      <c r="EZ10" s="57">
        <f t="shared" si="38"/>
        <v>0.5700934579439253</v>
      </c>
      <c r="FA10" s="57" t="str">
        <f t="shared" si="38"/>
        <v>-</v>
      </c>
      <c r="FB10" s="57">
        <f t="shared" si="38"/>
        <v>2.4797234410317805E-2</v>
      </c>
      <c r="FC10" s="49"/>
      <c r="FD10" s="56">
        <f t="shared" si="39"/>
        <v>2.5578291814946624E-3</v>
      </c>
      <c r="FE10" s="57">
        <f t="shared" si="39"/>
        <v>3.6806883365200764E-2</v>
      </c>
      <c r="FF10" s="57">
        <f t="shared" si="40"/>
        <v>0.40895522388059696</v>
      </c>
      <c r="FG10" s="57" t="str">
        <f t="shared" si="40"/>
        <v>-</v>
      </c>
      <c r="FH10" s="57">
        <f t="shared" si="40"/>
        <v>1.2738229386115333E-2</v>
      </c>
      <c r="FI10" s="49"/>
      <c r="FJ10" s="56">
        <f t="shared" si="41"/>
        <v>6.8181818181818176E-4</v>
      </c>
      <c r="FK10" s="56">
        <f t="shared" si="41"/>
        <v>0.03</v>
      </c>
      <c r="FL10" s="56" t="str">
        <f t="shared" si="42"/>
        <v>-</v>
      </c>
      <c r="FM10" s="56" t="str">
        <f t="shared" si="42"/>
        <v>-</v>
      </c>
      <c r="FN10" s="56">
        <f t="shared" si="42"/>
        <v>2.6666666666666666E-3</v>
      </c>
      <c r="FP10" s="59">
        <v>-8</v>
      </c>
      <c r="FQ10" s="59">
        <f>160-FP10</f>
        <v>168</v>
      </c>
      <c r="FR10" s="59">
        <f>37+22</f>
        <v>59</v>
      </c>
      <c r="FS10" s="59">
        <v>1</v>
      </c>
      <c r="FT10" s="60">
        <f t="shared" si="56"/>
        <v>220</v>
      </c>
      <c r="FV10" s="61">
        <f t="shared" si="43"/>
        <v>-4.8380463968649451E-5</v>
      </c>
      <c r="FW10" s="61">
        <f t="shared" si="44"/>
        <v>1.1168727562824107E-2</v>
      </c>
      <c r="FX10" s="61">
        <f t="shared" si="45"/>
        <v>2.8905982068492481E-3</v>
      </c>
      <c r="FY10" s="61">
        <f t="shared" si="46"/>
        <v>2.2222222222222221E-4</v>
      </c>
      <c r="FZ10" s="61">
        <f t="shared" si="47"/>
        <v>1.0715555577203142E-3</v>
      </c>
      <c r="GB10" s="59">
        <v>14</v>
      </c>
      <c r="GC10" s="59">
        <f>206-GB10</f>
        <v>192</v>
      </c>
      <c r="GD10" s="59">
        <f>41</f>
        <v>41</v>
      </c>
      <c r="GE10" s="59">
        <v>2</v>
      </c>
      <c r="GF10" s="71">
        <f t="shared" si="48"/>
        <v>249</v>
      </c>
      <c r="GH10" s="61">
        <f t="shared" si="49"/>
        <v>8.4665811945136549E-5</v>
      </c>
      <c r="GI10" s="61">
        <f t="shared" si="50"/>
        <v>1.2764260071798978E-2</v>
      </c>
      <c r="GJ10" s="61">
        <f t="shared" si="51"/>
        <v>2.0087207878104947E-3</v>
      </c>
      <c r="GK10" s="61">
        <f t="shared" si="52"/>
        <v>4.4444444444444441E-4</v>
      </c>
      <c r="GL10" s="61">
        <f t="shared" si="53"/>
        <v>1.2128060630561739E-3</v>
      </c>
      <c r="GN10" s="42">
        <f t="shared" si="54"/>
        <v>495</v>
      </c>
      <c r="GO10" s="42">
        <f t="shared" si="55"/>
        <v>272426</v>
      </c>
    </row>
    <row r="11" spans="1:197" s="58" customFormat="1" x14ac:dyDescent="0.25">
      <c r="A11" s="82" t="s">
        <v>232</v>
      </c>
      <c r="B11" s="44"/>
      <c r="C11" s="45">
        <f t="shared" si="0"/>
        <v>187.34500000000003</v>
      </c>
      <c r="D11" s="45">
        <f t="shared" si="0"/>
        <v>9.5599999999999987</v>
      </c>
      <c r="E11" s="45">
        <f t="shared" si="0"/>
        <v>7.9990000000000006</v>
      </c>
      <c r="F11" s="45">
        <f t="shared" si="0"/>
        <v>0.48</v>
      </c>
      <c r="G11" s="45">
        <f t="shared" si="0"/>
        <v>1.63</v>
      </c>
      <c r="H11" s="45" t="str">
        <f t="shared" si="0"/>
        <v>-</v>
      </c>
      <c r="I11" s="45">
        <f t="shared" si="0"/>
        <v>198.535</v>
      </c>
      <c r="J11" s="45"/>
      <c r="K11" s="45">
        <f t="shared" si="1"/>
        <v>187.34500000000003</v>
      </c>
      <c r="L11" s="45">
        <f t="shared" si="1"/>
        <v>9.5599999999999987</v>
      </c>
      <c r="M11" s="45">
        <f t="shared" si="1"/>
        <v>7.9990000000000006</v>
      </c>
      <c r="N11" s="45">
        <f t="shared" si="1"/>
        <v>0.48</v>
      </c>
      <c r="O11" s="45">
        <f t="shared" si="1"/>
        <v>1.63</v>
      </c>
      <c r="P11" s="45" t="str">
        <f t="shared" si="1"/>
        <v>-</v>
      </c>
      <c r="Q11" s="45">
        <f t="shared" si="1"/>
        <v>198.535</v>
      </c>
      <c r="R11" s="45"/>
      <c r="S11" s="47">
        <v>176</v>
      </c>
      <c r="T11" s="47">
        <v>8.5</v>
      </c>
      <c r="U11" s="72">
        <f>7.033+0.966</f>
        <v>7.9990000000000006</v>
      </c>
      <c r="V11" s="73">
        <v>0.48</v>
      </c>
      <c r="W11" s="47">
        <v>1.2709999999999999</v>
      </c>
      <c r="X11" s="47"/>
      <c r="Y11" s="49">
        <f t="shared" si="2"/>
        <v>185.77099999999999</v>
      </c>
      <c r="Z11" s="49"/>
      <c r="AA11" s="47">
        <v>3.5379999999999998</v>
      </c>
      <c r="AB11" s="47">
        <v>0.76100000000000001</v>
      </c>
      <c r="AC11" s="50" t="s">
        <v>230</v>
      </c>
      <c r="AD11" s="50" t="s">
        <v>230</v>
      </c>
      <c r="AE11" s="50">
        <f>0.287</f>
        <v>0.28699999999999998</v>
      </c>
      <c r="AF11" s="47">
        <v>0</v>
      </c>
      <c r="AG11" s="74">
        <f t="shared" si="3"/>
        <v>4.5859999999999994</v>
      </c>
      <c r="AH11" s="49"/>
      <c r="AI11" s="51">
        <f>7.807-AQ11</f>
        <v>7.7990000000000004</v>
      </c>
      <c r="AJ11" s="51">
        <f>0.299-AR11</f>
        <v>0.29899999999999999</v>
      </c>
      <c r="AK11" s="52" t="s">
        <v>230</v>
      </c>
      <c r="AL11" s="70" t="s">
        <v>230</v>
      </c>
      <c r="AM11" s="51">
        <f>0.072-AU11</f>
        <v>7.1999999999999995E-2</v>
      </c>
      <c r="AN11" s="51">
        <v>0</v>
      </c>
      <c r="AO11" s="49">
        <f t="shared" si="5"/>
        <v>8.17</v>
      </c>
      <c r="AP11" s="49"/>
      <c r="AQ11" s="50">
        <v>8.0000000000000002E-3</v>
      </c>
      <c r="AR11" s="50">
        <v>0</v>
      </c>
      <c r="AS11" s="50" t="s">
        <v>230</v>
      </c>
      <c r="AT11" s="50" t="s">
        <v>230</v>
      </c>
      <c r="AU11" s="50">
        <v>0</v>
      </c>
      <c r="AV11" s="50">
        <v>0</v>
      </c>
      <c r="AW11" s="49">
        <f t="shared" si="6"/>
        <v>8.0000000000000002E-3</v>
      </c>
      <c r="AX11" s="49"/>
      <c r="AY11" s="50" t="s">
        <v>230</v>
      </c>
      <c r="AZ11" s="50" t="s">
        <v>230</v>
      </c>
      <c r="BA11" s="50" t="s">
        <v>230</v>
      </c>
      <c r="BB11" s="50" t="s">
        <v>230</v>
      </c>
      <c r="BC11" s="50" t="s">
        <v>230</v>
      </c>
      <c r="BD11" s="50" t="s">
        <v>230</v>
      </c>
      <c r="BE11" s="49">
        <f t="shared" si="7"/>
        <v>0</v>
      </c>
      <c r="BF11" s="49"/>
      <c r="BG11" s="45">
        <f t="shared" si="8"/>
        <v>68</v>
      </c>
      <c r="BH11" s="45">
        <f t="shared" si="8"/>
        <v>261</v>
      </c>
      <c r="BI11" s="45">
        <f t="shared" si="9"/>
        <v>336</v>
      </c>
      <c r="BJ11" s="45" t="str">
        <f t="shared" si="9"/>
        <v>-</v>
      </c>
      <c r="BK11" s="45">
        <f t="shared" si="9"/>
        <v>665</v>
      </c>
      <c r="BL11" s="45"/>
      <c r="BM11" s="45">
        <f t="shared" si="10"/>
        <v>68</v>
      </c>
      <c r="BN11" s="45">
        <f t="shared" si="10"/>
        <v>261</v>
      </c>
      <c r="BO11" s="45">
        <f t="shared" si="11"/>
        <v>336</v>
      </c>
      <c r="BP11" s="45" t="str">
        <f t="shared" si="11"/>
        <v>-</v>
      </c>
      <c r="BQ11" s="45">
        <f t="shared" si="11"/>
        <v>665</v>
      </c>
      <c r="BR11" s="45"/>
      <c r="BS11" s="75">
        <v>37</v>
      </c>
      <c r="BT11" s="75">
        <v>127</v>
      </c>
      <c r="BU11" s="76">
        <v>96</v>
      </c>
      <c r="BV11" s="77">
        <f>14+17</f>
        <v>31</v>
      </c>
      <c r="BW11" s="75">
        <v>42</v>
      </c>
      <c r="BX11" s="75">
        <v>0</v>
      </c>
      <c r="BY11" s="78">
        <f t="shared" si="12"/>
        <v>206</v>
      </c>
      <c r="BZ11" s="45"/>
      <c r="CA11" s="79">
        <v>27</v>
      </c>
      <c r="CB11" s="79">
        <v>132</v>
      </c>
      <c r="CC11" s="50" t="s">
        <v>230</v>
      </c>
      <c r="CD11" s="50" t="s">
        <v>230</v>
      </c>
      <c r="CE11" s="80">
        <v>259</v>
      </c>
      <c r="CF11" s="51">
        <v>0</v>
      </c>
      <c r="CG11" s="74">
        <f t="shared" si="13"/>
        <v>418</v>
      </c>
      <c r="CH11" s="49"/>
      <c r="CI11" s="47">
        <v>4</v>
      </c>
      <c r="CJ11" s="47">
        <v>2</v>
      </c>
      <c r="CK11" s="50" t="s">
        <v>230</v>
      </c>
      <c r="CL11" s="50" t="s">
        <v>230</v>
      </c>
      <c r="CM11" s="47">
        <v>35</v>
      </c>
      <c r="CN11" s="47">
        <v>0</v>
      </c>
      <c r="CO11" s="49">
        <f t="shared" si="15"/>
        <v>41</v>
      </c>
      <c r="CP11" s="49"/>
      <c r="CQ11" s="50">
        <v>0</v>
      </c>
      <c r="CR11" s="50">
        <v>0</v>
      </c>
      <c r="CS11" s="50" t="s">
        <v>230</v>
      </c>
      <c r="CT11" s="50" t="s">
        <v>230</v>
      </c>
      <c r="CU11" s="50">
        <v>0</v>
      </c>
      <c r="CV11" s="50">
        <v>0</v>
      </c>
      <c r="CW11" s="49">
        <f t="shared" si="16"/>
        <v>0</v>
      </c>
      <c r="CX11" s="49"/>
      <c r="CY11" s="50" t="s">
        <v>230</v>
      </c>
      <c r="CZ11" s="50" t="s">
        <v>230</v>
      </c>
      <c r="DA11" s="50" t="s">
        <v>230</v>
      </c>
      <c r="DB11" s="50" t="s">
        <v>230</v>
      </c>
      <c r="DC11" s="50" t="s">
        <v>230</v>
      </c>
      <c r="DD11" s="50" t="s">
        <v>230</v>
      </c>
      <c r="DE11" s="49">
        <f t="shared" si="17"/>
        <v>0</v>
      </c>
      <c r="DF11" s="49"/>
      <c r="DG11" s="54">
        <f t="shared" si="18"/>
        <v>0.94363714206563087</v>
      </c>
      <c r="DH11" s="54">
        <f t="shared" si="18"/>
        <v>4.8152718664215374E-2</v>
      </c>
      <c r="DI11" s="54">
        <f t="shared" si="19"/>
        <v>8.2101392701538767E-3</v>
      </c>
      <c r="DJ11" s="54" t="str">
        <f t="shared" si="19"/>
        <v>-</v>
      </c>
      <c r="DK11" s="49"/>
      <c r="DL11" s="54">
        <f t="shared" si="20"/>
        <v>0.94740298539599832</v>
      </c>
      <c r="DM11" s="54">
        <f t="shared" si="20"/>
        <v>4.5755257817420375E-2</v>
      </c>
      <c r="DN11" s="54">
        <f t="shared" si="21"/>
        <v>6.8417567865813288E-3</v>
      </c>
      <c r="DO11" s="54" t="str">
        <f t="shared" si="21"/>
        <v>-</v>
      </c>
      <c r="DP11" s="49"/>
      <c r="DQ11" s="54">
        <f t="shared" si="22"/>
        <v>0.77147841255996519</v>
      </c>
      <c r="DR11" s="54">
        <f t="shared" si="22"/>
        <v>0.16593981683384215</v>
      </c>
      <c r="DS11" s="54">
        <f t="shared" si="23"/>
        <v>6.2581770606192758E-2</v>
      </c>
      <c r="DT11" s="54" t="str">
        <f t="shared" si="23"/>
        <v>-</v>
      </c>
      <c r="DU11" s="49"/>
      <c r="DV11" s="54">
        <f t="shared" si="24"/>
        <v>0.95458996328029377</v>
      </c>
      <c r="DW11" s="54">
        <f t="shared" si="24"/>
        <v>3.6597307221542225E-2</v>
      </c>
      <c r="DX11" s="54">
        <f t="shared" si="25"/>
        <v>8.8127294981640136E-3</v>
      </c>
      <c r="DY11" s="54" t="str">
        <f t="shared" si="25"/>
        <v>-</v>
      </c>
      <c r="DZ11" s="49"/>
      <c r="EA11" s="54">
        <f t="shared" si="26"/>
        <v>1</v>
      </c>
      <c r="EB11" s="54" t="str">
        <f t="shared" si="26"/>
        <v>-</v>
      </c>
      <c r="EC11" s="54" t="str">
        <f t="shared" si="27"/>
        <v>-</v>
      </c>
      <c r="ED11" s="54" t="str">
        <f t="shared" si="27"/>
        <v>-</v>
      </c>
      <c r="EE11" s="49"/>
      <c r="EF11" s="55">
        <f t="shared" si="28"/>
        <v>5.6470588235294113E-2</v>
      </c>
      <c r="EG11" s="55" t="str">
        <f t="shared" si="29"/>
        <v>-</v>
      </c>
      <c r="EH11" s="55" t="str">
        <f t="shared" si="30"/>
        <v>-</v>
      </c>
      <c r="EI11" s="55" t="str">
        <f t="shared" si="31"/>
        <v>-</v>
      </c>
      <c r="EJ11" s="55">
        <f t="shared" si="32"/>
        <v>5.0209205020920508E-2</v>
      </c>
      <c r="EK11" s="49"/>
      <c r="EL11" s="56">
        <f t="shared" si="33"/>
        <v>3.6296671915450103E-4</v>
      </c>
      <c r="EM11" s="56">
        <f t="shared" si="33"/>
        <v>2.7301255230125526E-2</v>
      </c>
      <c r="EN11" s="56">
        <f t="shared" si="34"/>
        <v>0.20613496932515338</v>
      </c>
      <c r="EO11" s="56" t="str">
        <f t="shared" si="34"/>
        <v>-</v>
      </c>
      <c r="EP11" s="56">
        <f t="shared" si="34"/>
        <v>3.3495353464124715E-3</v>
      </c>
      <c r="EQ11" s="45"/>
      <c r="ER11" s="56">
        <f t="shared" si="35"/>
        <v>2.1022727272727274E-4</v>
      </c>
      <c r="ES11" s="57">
        <f t="shared" si="35"/>
        <v>1.4941176470588236E-2</v>
      </c>
      <c r="ET11" s="57">
        <f t="shared" si="36"/>
        <v>3.3044846577498038E-2</v>
      </c>
      <c r="EU11" s="57" t="str">
        <f t="shared" si="36"/>
        <v>-</v>
      </c>
      <c r="EV11" s="57">
        <f t="shared" si="36"/>
        <v>1.1088921306339524E-3</v>
      </c>
      <c r="EW11" s="49"/>
      <c r="EX11" s="56">
        <f t="shared" si="37"/>
        <v>7.6314301865460718E-3</v>
      </c>
      <c r="EY11" s="57">
        <f t="shared" si="37"/>
        <v>0.17345597897503284</v>
      </c>
      <c r="EZ11" s="57">
        <f t="shared" si="38"/>
        <v>0.90243902439024393</v>
      </c>
      <c r="FA11" s="57" t="str">
        <f t="shared" si="38"/>
        <v>-</v>
      </c>
      <c r="FB11" s="57">
        <f t="shared" si="38"/>
        <v>9.1146969036197137E-2</v>
      </c>
      <c r="FC11" s="49"/>
      <c r="FD11" s="56">
        <f t="shared" si="39"/>
        <v>5.1288626747018852E-4</v>
      </c>
      <c r="FE11" s="57">
        <f t="shared" si="39"/>
        <v>6.688963210702341E-3</v>
      </c>
      <c r="FF11" s="57">
        <f t="shared" si="40"/>
        <v>0.48611111111111116</v>
      </c>
      <c r="FG11" s="57" t="str">
        <f t="shared" si="40"/>
        <v>-</v>
      </c>
      <c r="FH11" s="57">
        <f t="shared" si="40"/>
        <v>5.0183598531211744E-3</v>
      </c>
      <c r="FI11" s="49"/>
      <c r="FJ11" s="56" t="str">
        <f t="shared" si="41"/>
        <v>-</v>
      </c>
      <c r="FK11" s="56" t="str">
        <f t="shared" si="41"/>
        <v>-</v>
      </c>
      <c r="FL11" s="56" t="str">
        <f t="shared" si="42"/>
        <v>-</v>
      </c>
      <c r="FM11" s="56" t="str">
        <f t="shared" si="42"/>
        <v>-</v>
      </c>
      <c r="FN11" s="56" t="str">
        <f t="shared" si="42"/>
        <v>-</v>
      </c>
      <c r="FP11" s="59">
        <v>-17</v>
      </c>
      <c r="FQ11" s="59">
        <v>114</v>
      </c>
      <c r="FR11" s="59">
        <v>97</v>
      </c>
      <c r="FS11" s="59">
        <v>0</v>
      </c>
      <c r="FT11" s="60">
        <v>113</v>
      </c>
      <c r="FV11" s="61">
        <f t="shared" si="43"/>
        <v>-9.1510515634840743E-5</v>
      </c>
      <c r="FW11" s="61">
        <f t="shared" si="44"/>
        <v>2.485826428259922E-2</v>
      </c>
      <c r="FX11" s="61">
        <f t="shared" si="45"/>
        <v>1.1872705018359854E-2</v>
      </c>
      <c r="FY11" s="61" t="str">
        <f t="shared" si="46"/>
        <v>-</v>
      </c>
      <c r="FZ11" s="61">
        <f t="shared" si="47"/>
        <v>5.69169164127232E-4</v>
      </c>
      <c r="GB11" s="59"/>
      <c r="GC11" s="59"/>
      <c r="GD11" s="59"/>
      <c r="GE11" s="59"/>
      <c r="GF11" s="71">
        <v>115</v>
      </c>
      <c r="GH11" s="61" t="str">
        <f t="shared" si="49"/>
        <v>-</v>
      </c>
      <c r="GI11" s="61" t="str">
        <f t="shared" si="50"/>
        <v>-</v>
      </c>
      <c r="GJ11" s="61" t="str">
        <f t="shared" si="51"/>
        <v>-</v>
      </c>
      <c r="GK11" s="61" t="str">
        <f t="shared" si="52"/>
        <v>-</v>
      </c>
      <c r="GL11" s="61">
        <f t="shared" si="53"/>
        <v>5.7924295464275818E-4</v>
      </c>
      <c r="GN11" s="42">
        <f t="shared" si="54"/>
        <v>329</v>
      </c>
      <c r="GO11" s="42">
        <f t="shared" si="55"/>
        <v>196905.00000000003</v>
      </c>
    </row>
    <row r="12" spans="1:197" s="38" customFormat="1" x14ac:dyDescent="0.25">
      <c r="A12" s="82" t="s">
        <v>249</v>
      </c>
      <c r="B12" s="27"/>
      <c r="C12" s="28">
        <f t="shared" si="0"/>
        <v>215.11100000000002</v>
      </c>
      <c r="D12" s="28">
        <f t="shared" si="0"/>
        <v>19.392000000000003</v>
      </c>
      <c r="E12" s="28" t="str">
        <f t="shared" si="0"/>
        <v>-</v>
      </c>
      <c r="F12" s="28" t="str">
        <f t="shared" si="0"/>
        <v>-</v>
      </c>
      <c r="G12" s="28">
        <f t="shared" si="0"/>
        <v>2.8349999999999995</v>
      </c>
      <c r="H12" s="28" t="str">
        <f t="shared" si="0"/>
        <v>-</v>
      </c>
      <c r="I12" s="28">
        <f t="shared" si="0"/>
        <v>237.33800000000002</v>
      </c>
      <c r="J12" s="28"/>
      <c r="K12" s="28">
        <f t="shared" si="1"/>
        <v>215.11100000000002</v>
      </c>
      <c r="L12" s="28">
        <f t="shared" si="1"/>
        <v>19.392000000000003</v>
      </c>
      <c r="M12" s="28" t="str">
        <f t="shared" si="1"/>
        <v>-</v>
      </c>
      <c r="N12" s="28" t="str">
        <f t="shared" si="1"/>
        <v>-</v>
      </c>
      <c r="O12" s="28">
        <f t="shared" si="1"/>
        <v>2.8349999999999995</v>
      </c>
      <c r="P12" s="28" t="str">
        <f t="shared" si="1"/>
        <v>-</v>
      </c>
      <c r="Q12" s="28">
        <f t="shared" si="1"/>
        <v>237.33800000000002</v>
      </c>
      <c r="R12" s="28"/>
      <c r="S12" s="29">
        <v>128.51400000000001</v>
      </c>
      <c r="T12" s="29">
        <v>7.7830000000000004</v>
      </c>
      <c r="U12" s="33"/>
      <c r="V12" s="29"/>
      <c r="W12" s="29">
        <v>0.89500000000000002</v>
      </c>
      <c r="X12" s="29"/>
      <c r="Y12" s="30">
        <f>SUM(S12:T12,W12:X12)</f>
        <v>137.19200000000001</v>
      </c>
      <c r="Z12" s="30"/>
      <c r="AA12" s="29">
        <f>2.302+5.782</f>
        <v>8.0839999999999996</v>
      </c>
      <c r="AB12" s="29">
        <f>0.911+1.808</f>
        <v>2.7190000000000003</v>
      </c>
      <c r="AC12" s="33"/>
      <c r="AD12" s="29"/>
      <c r="AE12" s="29">
        <f>0.081+0.484</f>
        <v>0.56499999999999995</v>
      </c>
      <c r="AF12" s="29"/>
      <c r="AG12" s="30">
        <f>SUM(AA12:AB12,AE12:AF12)</f>
        <v>11.368</v>
      </c>
      <c r="AH12" s="30"/>
      <c r="AI12" s="31">
        <f>78.513-16.554-2.933</f>
        <v>59.026000000000003</v>
      </c>
      <c r="AJ12" s="31">
        <f>8.89-0.163-0.001</f>
        <v>8.7260000000000009</v>
      </c>
      <c r="AK12" s="66"/>
      <c r="AL12" s="31"/>
      <c r="AM12" s="31">
        <f>1.375-0.006</f>
        <v>1.369</v>
      </c>
      <c r="AN12" s="31"/>
      <c r="AO12" s="30">
        <f>SUM(AI12:AJ12,AM12:AN12)</f>
        <v>69.121000000000009</v>
      </c>
      <c r="AP12" s="30"/>
      <c r="AQ12" s="29">
        <f>16.554+2.933</f>
        <v>19.486999999999998</v>
      </c>
      <c r="AR12" s="29">
        <f>0.163+0.001</f>
        <v>0.16400000000000001</v>
      </c>
      <c r="AS12" s="33"/>
      <c r="AT12" s="29"/>
      <c r="AU12" s="29">
        <v>6.0000000000000001E-3</v>
      </c>
      <c r="AV12" s="29"/>
      <c r="AW12" s="30">
        <f>SUM(AQ12:AR12,AU12:AV12)</f>
        <v>19.657</v>
      </c>
      <c r="AX12" s="30"/>
      <c r="AY12" s="29" t="s">
        <v>230</v>
      </c>
      <c r="AZ12" s="29" t="s">
        <v>230</v>
      </c>
      <c r="BA12" s="29" t="s">
        <v>230</v>
      </c>
      <c r="BB12" s="29" t="s">
        <v>230</v>
      </c>
      <c r="BC12" s="29" t="s">
        <v>230</v>
      </c>
      <c r="BD12" s="29" t="s">
        <v>230</v>
      </c>
      <c r="BE12" s="30">
        <f>SUM(AY12:AZ12,BC12:BD12)</f>
        <v>0</v>
      </c>
      <c r="BF12" s="30"/>
      <c r="BG12" s="28">
        <f t="shared" si="8"/>
        <v>223</v>
      </c>
      <c r="BH12" s="28">
        <f t="shared" si="8"/>
        <v>518</v>
      </c>
      <c r="BI12" s="28">
        <f t="shared" si="9"/>
        <v>1281</v>
      </c>
      <c r="BJ12" s="28" t="str">
        <f t="shared" si="9"/>
        <v>-</v>
      </c>
      <c r="BK12" s="28">
        <f t="shared" si="9"/>
        <v>2022</v>
      </c>
      <c r="BL12" s="28"/>
      <c r="BM12" s="28">
        <f t="shared" si="10"/>
        <v>223</v>
      </c>
      <c r="BN12" s="28">
        <f t="shared" si="10"/>
        <v>518</v>
      </c>
      <c r="BO12" s="28">
        <f t="shared" si="11"/>
        <v>1281</v>
      </c>
      <c r="BP12" s="28" t="str">
        <f t="shared" si="11"/>
        <v>-</v>
      </c>
      <c r="BQ12" s="28">
        <f t="shared" si="11"/>
        <v>2022</v>
      </c>
      <c r="BR12" s="28"/>
      <c r="BS12" s="29">
        <v>11</v>
      </c>
      <c r="BT12" s="29">
        <v>58</v>
      </c>
      <c r="BU12" s="29"/>
      <c r="BV12" s="29"/>
      <c r="BW12" s="29">
        <v>140</v>
      </c>
      <c r="BX12" s="29"/>
      <c r="BY12" s="30">
        <f>SUM(BS12:BT12,BW12:BX12)</f>
        <v>209</v>
      </c>
      <c r="BZ12" s="28"/>
      <c r="CA12" s="29">
        <f>32+55</f>
        <v>87</v>
      </c>
      <c r="CB12" s="29">
        <f>100+207</f>
        <v>307</v>
      </c>
      <c r="CC12" s="29"/>
      <c r="CD12" s="29"/>
      <c r="CE12" s="29">
        <f>64+413</f>
        <v>477</v>
      </c>
      <c r="CF12" s="29"/>
      <c r="CG12" s="30">
        <f>SUM(CA12:CB12,CE12:CF12)</f>
        <v>871</v>
      </c>
      <c r="CH12" s="30"/>
      <c r="CI12" s="29">
        <f>125-8-3</f>
        <v>114</v>
      </c>
      <c r="CJ12" s="29">
        <f>153-2</f>
        <v>151</v>
      </c>
      <c r="CK12" s="29"/>
      <c r="CL12" s="29"/>
      <c r="CM12" s="29">
        <f>664-2</f>
        <v>662</v>
      </c>
      <c r="CN12" s="29"/>
      <c r="CO12" s="30">
        <f>SUM(CI12:CJ12,CM12:CN12)</f>
        <v>927</v>
      </c>
      <c r="CP12" s="30"/>
      <c r="CQ12" s="29">
        <f>8+3</f>
        <v>11</v>
      </c>
      <c r="CR12" s="29">
        <v>2</v>
      </c>
      <c r="CS12" s="29"/>
      <c r="CT12" s="29"/>
      <c r="CU12" s="29">
        <v>2</v>
      </c>
      <c r="CV12" s="29"/>
      <c r="CW12" s="30">
        <f>SUM(CQ12:CR12,CU12:CV12)</f>
        <v>15</v>
      </c>
      <c r="CX12" s="30"/>
      <c r="CY12" s="29" t="s">
        <v>230</v>
      </c>
      <c r="CZ12" s="29" t="s">
        <v>230</v>
      </c>
      <c r="DA12" s="29" t="s">
        <v>230</v>
      </c>
      <c r="DB12" s="29" t="s">
        <v>230</v>
      </c>
      <c r="DC12" s="29" t="s">
        <v>230</v>
      </c>
      <c r="DD12" s="29" t="s">
        <v>230</v>
      </c>
      <c r="DE12" s="30">
        <f t="shared" si="17"/>
        <v>0</v>
      </c>
      <c r="DF12" s="30"/>
      <c r="DG12" s="34">
        <f t="shared" si="18"/>
        <v>0.90634875156949157</v>
      </c>
      <c r="DH12" s="34">
        <f t="shared" si="18"/>
        <v>8.1706258584803113E-2</v>
      </c>
      <c r="DI12" s="34">
        <f t="shared" si="19"/>
        <v>1.1944989845705278E-2</v>
      </c>
      <c r="DJ12" s="34" t="str">
        <f t="shared" si="19"/>
        <v>-</v>
      </c>
      <c r="DK12" s="30"/>
      <c r="DL12" s="34">
        <f t="shared" si="20"/>
        <v>0.93674558283281828</v>
      </c>
      <c r="DM12" s="34">
        <f t="shared" si="20"/>
        <v>5.6730713161117267E-2</v>
      </c>
      <c r="DN12" s="34">
        <f t="shared" si="21"/>
        <v>6.5237040060644935E-3</v>
      </c>
      <c r="DO12" s="34" t="str">
        <f t="shared" si="21"/>
        <v>-</v>
      </c>
      <c r="DP12" s="30"/>
      <c r="DQ12" s="34">
        <f t="shared" si="22"/>
        <v>0.71111893033075291</v>
      </c>
      <c r="DR12" s="34">
        <f t="shared" si="22"/>
        <v>0.23918015482054894</v>
      </c>
      <c r="DS12" s="34">
        <f t="shared" si="23"/>
        <v>4.9700914848698097E-2</v>
      </c>
      <c r="DT12" s="34" t="str">
        <f t="shared" si="23"/>
        <v>-</v>
      </c>
      <c r="DU12" s="30"/>
      <c r="DV12" s="34">
        <f t="shared" si="24"/>
        <v>0.85395176574412979</v>
      </c>
      <c r="DW12" s="34">
        <f t="shared" si="24"/>
        <v>0.12624238653954659</v>
      </c>
      <c r="DX12" s="34">
        <f t="shared" si="25"/>
        <v>1.9805847716323547E-2</v>
      </c>
      <c r="DY12" s="34" t="str">
        <f t="shared" si="25"/>
        <v>-</v>
      </c>
      <c r="DZ12" s="30"/>
      <c r="EA12" s="34">
        <f t="shared" si="26"/>
        <v>0.99135168133489338</v>
      </c>
      <c r="EB12" s="34">
        <f t="shared" si="26"/>
        <v>8.3430838886910524E-3</v>
      </c>
      <c r="EC12" s="34">
        <f t="shared" si="27"/>
        <v>3.0523477641552626E-4</v>
      </c>
      <c r="ED12" s="34" t="str">
        <f t="shared" si="27"/>
        <v>-</v>
      </c>
      <c r="EE12" s="30"/>
      <c r="EF12" s="35">
        <f t="shared" si="28"/>
        <v>0</v>
      </c>
      <c r="EG12" s="35">
        <f t="shared" si="29"/>
        <v>0</v>
      </c>
      <c r="EH12" s="35">
        <f t="shared" si="30"/>
        <v>0</v>
      </c>
      <c r="EI12" s="35">
        <f t="shared" si="31"/>
        <v>0</v>
      </c>
      <c r="EJ12" s="35" t="str">
        <f t="shared" si="32"/>
        <v>-</v>
      </c>
      <c r="EK12" s="30"/>
      <c r="EL12" s="36">
        <f t="shared" si="33"/>
        <v>1.0366740891911616E-3</v>
      </c>
      <c r="EM12" s="36">
        <f t="shared" si="33"/>
        <v>2.6712046204620456E-2</v>
      </c>
      <c r="EN12" s="36">
        <f t="shared" si="34"/>
        <v>0.45185185185185189</v>
      </c>
      <c r="EO12" s="36" t="str">
        <f t="shared" si="34"/>
        <v>-</v>
      </c>
      <c r="EP12" s="36">
        <f t="shared" si="34"/>
        <v>8.5194954031802741E-3</v>
      </c>
      <c r="EQ12" s="28"/>
      <c r="ER12" s="36">
        <f t="shared" si="35"/>
        <v>8.5593787447282014E-5</v>
      </c>
      <c r="ES12" s="37">
        <f t="shared" si="35"/>
        <v>7.4521392779134006E-3</v>
      </c>
      <c r="ET12" s="37">
        <f t="shared" si="36"/>
        <v>0.15642458100558659</v>
      </c>
      <c r="EU12" s="37" t="str">
        <f t="shared" si="36"/>
        <v>-</v>
      </c>
      <c r="EV12" s="37">
        <f t="shared" si="36"/>
        <v>1.5234124438742783E-3</v>
      </c>
      <c r="EW12" s="30"/>
      <c r="EX12" s="36">
        <f t="shared" si="37"/>
        <v>1.0761999010390896E-2</v>
      </c>
      <c r="EY12" s="37">
        <f t="shared" si="37"/>
        <v>0.11290915777859506</v>
      </c>
      <c r="EZ12" s="37">
        <f t="shared" si="38"/>
        <v>0.84424778761061947</v>
      </c>
      <c r="FA12" s="37" t="str">
        <f t="shared" si="38"/>
        <v>-</v>
      </c>
      <c r="FB12" s="37">
        <f t="shared" si="38"/>
        <v>7.66185784658691E-2</v>
      </c>
      <c r="FC12" s="30"/>
      <c r="FD12" s="36">
        <f t="shared" si="39"/>
        <v>1.9313522854335376E-3</v>
      </c>
      <c r="FE12" s="37">
        <f t="shared" si="39"/>
        <v>1.7304606921842765E-2</v>
      </c>
      <c r="FF12" s="37">
        <f t="shared" si="40"/>
        <v>0.48356464572680791</v>
      </c>
      <c r="FG12" s="37" t="str">
        <f t="shared" si="40"/>
        <v>-</v>
      </c>
      <c r="FH12" s="37">
        <f t="shared" si="40"/>
        <v>1.341126430462522E-2</v>
      </c>
      <c r="FI12" s="30"/>
      <c r="FJ12" s="36">
        <f t="shared" si="41"/>
        <v>5.6447888335813619E-4</v>
      </c>
      <c r="FK12" s="36">
        <f t="shared" si="41"/>
        <v>1.2195121951219513E-2</v>
      </c>
      <c r="FL12" s="36">
        <f t="shared" si="42"/>
        <v>0.33333333333333331</v>
      </c>
      <c r="FM12" s="36" t="str">
        <f t="shared" si="42"/>
        <v>-</v>
      </c>
      <c r="FN12" s="36">
        <f t="shared" si="42"/>
        <v>7.6308694103881572E-4</v>
      </c>
      <c r="FP12" s="68">
        <v>31</v>
      </c>
      <c r="FQ12" s="68">
        <f>87+209</f>
        <v>296</v>
      </c>
      <c r="FR12" s="68">
        <f>242-2</f>
        <v>240</v>
      </c>
      <c r="FS12" s="68">
        <f>4+1</f>
        <v>5</v>
      </c>
      <c r="FT12" s="43">
        <f t="shared" si="56"/>
        <v>572</v>
      </c>
      <c r="FV12" s="40">
        <f t="shared" si="43"/>
        <v>2.2596069741675899E-4</v>
      </c>
      <c r="FW12" s="40">
        <f t="shared" si="44"/>
        <v>2.6038001407459536E-2</v>
      </c>
      <c r="FX12" s="40">
        <f t="shared" si="45"/>
        <v>3.4721719882524842E-3</v>
      </c>
      <c r="FY12" s="40">
        <f t="shared" si="46"/>
        <v>2.5436231367960519E-4</v>
      </c>
      <c r="FZ12" s="40">
        <f t="shared" si="47"/>
        <v>2.4100649706325999E-3</v>
      </c>
      <c r="GB12" s="68">
        <v>10</v>
      </c>
      <c r="GC12" s="68">
        <f>53+109</f>
        <v>162</v>
      </c>
      <c r="GD12" s="68">
        <f>52+170</f>
        <v>222</v>
      </c>
      <c r="GE12" s="68">
        <v>10</v>
      </c>
      <c r="GF12" s="41">
        <f t="shared" si="48"/>
        <v>404</v>
      </c>
      <c r="GH12" s="40">
        <f t="shared" si="49"/>
        <v>7.2890547553793215E-5</v>
      </c>
      <c r="GI12" s="40">
        <f t="shared" si="50"/>
        <v>1.4250527797325826E-2</v>
      </c>
      <c r="GJ12" s="40">
        <f t="shared" si="51"/>
        <v>3.211759089133548E-3</v>
      </c>
      <c r="GK12" s="40">
        <f t="shared" si="52"/>
        <v>5.0872462735921037E-4</v>
      </c>
      <c r="GL12" s="40">
        <f t="shared" si="53"/>
        <v>1.7022137205167311E-3</v>
      </c>
      <c r="GN12" s="42">
        <f t="shared" si="54"/>
        <v>741</v>
      </c>
      <c r="GO12" s="42">
        <f t="shared" si="55"/>
        <v>234503</v>
      </c>
    </row>
    <row r="13" spans="1:197" x14ac:dyDescent="0.25">
      <c r="A13" s="82" t="s">
        <v>233</v>
      </c>
      <c r="B13" s="82"/>
      <c r="C13" s="9">
        <f t="shared" si="0"/>
        <v>40.89309999999999</v>
      </c>
      <c r="D13" s="9">
        <f t="shared" si="0"/>
        <v>1.0786</v>
      </c>
      <c r="E13" s="9">
        <f t="shared" si="0"/>
        <v>0.98419999999999996</v>
      </c>
      <c r="F13" s="9">
        <f t="shared" si="0"/>
        <v>9.4399999999999984E-2</v>
      </c>
      <c r="G13" s="9">
        <f t="shared" si="0"/>
        <v>0.1973</v>
      </c>
      <c r="H13" s="9" t="str">
        <f t="shared" si="0"/>
        <v>-</v>
      </c>
      <c r="I13" s="9">
        <f t="shared" si="0"/>
        <v>42.168999999999997</v>
      </c>
      <c r="K13" s="9">
        <f t="shared" si="1"/>
        <v>40.89309999999999</v>
      </c>
      <c r="L13" s="9">
        <f t="shared" si="1"/>
        <v>1.0786</v>
      </c>
      <c r="M13" s="9">
        <f t="shared" si="1"/>
        <v>0.98419999999999996</v>
      </c>
      <c r="N13" s="9">
        <f t="shared" si="1"/>
        <v>9.4399999999999984E-2</v>
      </c>
      <c r="O13" s="9">
        <f t="shared" si="1"/>
        <v>0.1973</v>
      </c>
      <c r="P13" s="9" t="str">
        <f t="shared" si="1"/>
        <v>-</v>
      </c>
      <c r="Q13" s="9">
        <f t="shared" si="1"/>
        <v>42.168999999999997</v>
      </c>
      <c r="S13" s="83">
        <v>40.873499999999993</v>
      </c>
      <c r="T13" s="84">
        <f>SUM(U13:V13)</f>
        <v>1.0767</v>
      </c>
      <c r="U13" s="83">
        <v>0.98259999999999992</v>
      </c>
      <c r="V13" s="83">
        <v>9.4099999999999989E-2</v>
      </c>
      <c r="W13" s="83">
        <v>0.1968</v>
      </c>
      <c r="X13" s="83">
        <v>0</v>
      </c>
      <c r="Y13" s="85">
        <f t="shared" ref="Y13:Y23" si="57">SUM(S13:T13,W13:X13)</f>
        <v>42.146999999999998</v>
      </c>
      <c r="Z13" s="86"/>
      <c r="AA13" s="87" t="s">
        <v>230</v>
      </c>
      <c r="AB13" s="87" t="s">
        <v>230</v>
      </c>
      <c r="AC13" s="87" t="s">
        <v>230</v>
      </c>
      <c r="AD13" s="87" t="s">
        <v>230</v>
      </c>
      <c r="AE13" s="87" t="s">
        <v>230</v>
      </c>
      <c r="AF13" s="87" t="s">
        <v>230</v>
      </c>
      <c r="AG13" s="85">
        <f t="shared" ref="AG13:AG23" si="58">SUM(AA13:AB13,AE13:AF13)</f>
        <v>0</v>
      </c>
      <c r="AH13" s="85"/>
      <c r="AI13" s="87" t="s">
        <v>230</v>
      </c>
      <c r="AJ13" s="87" t="s">
        <v>230</v>
      </c>
      <c r="AK13" s="87" t="s">
        <v>230</v>
      </c>
      <c r="AL13" s="87" t="s">
        <v>230</v>
      </c>
      <c r="AM13" s="87" t="s">
        <v>230</v>
      </c>
      <c r="AN13" s="87" t="s">
        <v>230</v>
      </c>
      <c r="AO13" s="85">
        <f t="shared" ref="AO13:AO23" si="59">SUM(AI13:AJ13,AM13:AN13)</f>
        <v>0</v>
      </c>
      <c r="AP13" s="85"/>
      <c r="AQ13" s="83">
        <v>1.9599999999999999E-2</v>
      </c>
      <c r="AR13" s="88">
        <f>SUM(AS13:AT13)</f>
        <v>1.9E-3</v>
      </c>
      <c r="AS13" s="89">
        <v>1.6000000000000001E-3</v>
      </c>
      <c r="AT13" s="89">
        <v>2.9999999999999997E-4</v>
      </c>
      <c r="AU13" s="90">
        <f>0.0004+0.0001</f>
        <v>5.0000000000000001E-4</v>
      </c>
      <c r="AV13" s="83">
        <v>0</v>
      </c>
      <c r="AW13" s="91">
        <f t="shared" ref="AW13:AW23" si="60">SUM(AQ13:AR13,AU13:AV13)</f>
        <v>2.1999999999999999E-2</v>
      </c>
      <c r="AX13" s="85"/>
      <c r="AY13" s="87" t="s">
        <v>230</v>
      </c>
      <c r="AZ13" s="87" t="s">
        <v>230</v>
      </c>
      <c r="BA13" s="87" t="s">
        <v>230</v>
      </c>
      <c r="BB13" s="87" t="s">
        <v>230</v>
      </c>
      <c r="BC13" s="87" t="s">
        <v>230</v>
      </c>
      <c r="BD13" s="87" t="s">
        <v>230</v>
      </c>
      <c r="BE13" s="85">
        <f t="shared" ref="BE13:BE23" si="61">SUM(AY13:AZ13,BC13:BD13)</f>
        <v>0</v>
      </c>
      <c r="BF13" s="85"/>
      <c r="BG13" s="92">
        <f t="shared" si="8"/>
        <v>1</v>
      </c>
      <c r="BH13" s="92">
        <f t="shared" si="8"/>
        <v>3.2</v>
      </c>
      <c r="BI13" s="92">
        <f t="shared" si="9"/>
        <v>7.8</v>
      </c>
      <c r="BJ13" s="92" t="str">
        <f t="shared" si="9"/>
        <v>-</v>
      </c>
      <c r="BK13" s="92">
        <f t="shared" si="9"/>
        <v>12</v>
      </c>
      <c r="BL13" s="92"/>
      <c r="BM13" s="92">
        <f t="shared" si="10"/>
        <v>1</v>
      </c>
      <c r="BN13" s="92">
        <f t="shared" si="10"/>
        <v>3.2</v>
      </c>
      <c r="BO13" s="92">
        <f t="shared" si="11"/>
        <v>7.8</v>
      </c>
      <c r="BP13" s="92" t="str">
        <f t="shared" si="11"/>
        <v>-</v>
      </c>
      <c r="BQ13" s="92">
        <f t="shared" si="11"/>
        <v>12</v>
      </c>
      <c r="BS13" s="93">
        <v>0.8</v>
      </c>
      <c r="BT13" s="93">
        <v>3</v>
      </c>
      <c r="BU13" s="93">
        <v>2.7</v>
      </c>
      <c r="BV13" s="93">
        <v>0.3</v>
      </c>
      <c r="BW13" s="93">
        <v>7.5</v>
      </c>
      <c r="BX13" s="93">
        <v>0</v>
      </c>
      <c r="BY13" s="94">
        <f>SUM(BS13:BT13,BW13:BX13)</f>
        <v>11.3</v>
      </c>
      <c r="BZ13" s="95"/>
      <c r="CA13" s="96" t="s">
        <v>230</v>
      </c>
      <c r="CB13" s="96" t="s">
        <v>230</v>
      </c>
      <c r="CC13" s="96" t="s">
        <v>230</v>
      </c>
      <c r="CD13" s="96" t="s">
        <v>230</v>
      </c>
      <c r="CE13" s="96" t="s">
        <v>230</v>
      </c>
      <c r="CF13" s="96" t="s">
        <v>230</v>
      </c>
      <c r="CG13" s="97">
        <f t="shared" ref="CG13:CG23" si="62">SUM(CA13:CB13,CE13:CF13)</f>
        <v>0</v>
      </c>
      <c r="CH13" s="97"/>
      <c r="CI13" s="96" t="s">
        <v>230</v>
      </c>
      <c r="CJ13" s="96" t="s">
        <v>230</v>
      </c>
      <c r="CK13" s="96" t="s">
        <v>230</v>
      </c>
      <c r="CL13" s="96" t="s">
        <v>230</v>
      </c>
      <c r="CM13" s="96" t="s">
        <v>230</v>
      </c>
      <c r="CN13" s="96" t="s">
        <v>230</v>
      </c>
      <c r="CO13" s="97">
        <f t="shared" ref="CO13:CO23" si="63">SUM(CI13:CJ13,CM13:CN13)</f>
        <v>0</v>
      </c>
      <c r="CP13" s="97"/>
      <c r="CQ13" s="98">
        <v>0.2</v>
      </c>
      <c r="CR13" s="99">
        <f>SUM(CS13:CT13)</f>
        <v>0.2</v>
      </c>
      <c r="CS13" s="98">
        <v>0.2</v>
      </c>
      <c r="CT13" s="98">
        <v>0</v>
      </c>
      <c r="CU13" s="98">
        <v>0.3</v>
      </c>
      <c r="CV13" s="98">
        <v>0</v>
      </c>
      <c r="CW13" s="99">
        <f t="shared" ref="CW13:CW23" si="64">SUM(CQ13:CR13,CU13:CV13)</f>
        <v>0.7</v>
      </c>
      <c r="CX13" s="85"/>
      <c r="CY13" s="87" t="s">
        <v>230</v>
      </c>
      <c r="CZ13" s="87" t="s">
        <v>230</v>
      </c>
      <c r="DA13" s="87" t="s">
        <v>230</v>
      </c>
      <c r="DB13" s="87" t="s">
        <v>230</v>
      </c>
      <c r="DC13" s="87" t="s">
        <v>230</v>
      </c>
      <c r="DD13" s="87" t="s">
        <v>230</v>
      </c>
      <c r="DE13" s="85">
        <f t="shared" si="17"/>
        <v>0</v>
      </c>
      <c r="DF13" s="85"/>
      <c r="DG13" s="100">
        <f t="shared" si="18"/>
        <v>0.96974317626692574</v>
      </c>
      <c r="DH13" s="100">
        <f t="shared" si="18"/>
        <v>2.5578031255187463E-2</v>
      </c>
      <c r="DI13" s="100">
        <f t="shared" si="19"/>
        <v>4.6787924778865994E-3</v>
      </c>
      <c r="DJ13" s="100" t="str">
        <f t="shared" si="19"/>
        <v>-</v>
      </c>
      <c r="DK13" s="85"/>
      <c r="DL13" s="100">
        <f t="shared" si="20"/>
        <v>0.9697843262865683</v>
      </c>
      <c r="DM13" s="100">
        <f t="shared" si="20"/>
        <v>2.5546302227916578E-2</v>
      </c>
      <c r="DN13" s="100">
        <f t="shared" si="21"/>
        <v>4.6693714855149835E-3</v>
      </c>
      <c r="DO13" s="100" t="str">
        <f t="shared" si="21"/>
        <v>-</v>
      </c>
      <c r="DP13" s="85"/>
      <c r="DQ13" s="100" t="str">
        <f t="shared" si="22"/>
        <v>-</v>
      </c>
      <c r="DR13" s="100" t="str">
        <f t="shared" si="22"/>
        <v>-</v>
      </c>
      <c r="DS13" s="100" t="str">
        <f t="shared" si="23"/>
        <v>-</v>
      </c>
      <c r="DT13" s="100" t="str">
        <f t="shared" si="23"/>
        <v>-</v>
      </c>
      <c r="DU13" s="85"/>
      <c r="DV13" s="100" t="str">
        <f t="shared" si="24"/>
        <v>-</v>
      </c>
      <c r="DW13" s="100" t="str">
        <f t="shared" si="24"/>
        <v>-</v>
      </c>
      <c r="DX13" s="100" t="str">
        <f t="shared" si="25"/>
        <v>-</v>
      </c>
      <c r="DY13" s="100" t="str">
        <f t="shared" si="25"/>
        <v>-</v>
      </c>
      <c r="DZ13" s="85"/>
      <c r="EA13" s="100">
        <f t="shared" si="26"/>
        <v>0.89090909090909098</v>
      </c>
      <c r="EB13" s="100">
        <f t="shared" si="26"/>
        <v>8.6363636363636365E-2</v>
      </c>
      <c r="EC13" s="100">
        <f t="shared" si="27"/>
        <v>2.2727272727272728E-2</v>
      </c>
      <c r="ED13" s="100" t="str">
        <f t="shared" si="27"/>
        <v>-</v>
      </c>
      <c r="EE13" s="85"/>
      <c r="EF13" s="101">
        <f t="shared" si="28"/>
        <v>8.7396675025540993E-2</v>
      </c>
      <c r="EG13" s="101" t="str">
        <f t="shared" si="29"/>
        <v>-</v>
      </c>
      <c r="EH13" s="101" t="str">
        <f t="shared" si="30"/>
        <v>-</v>
      </c>
      <c r="EI13" s="101">
        <f t="shared" si="31"/>
        <v>0.15789473684210525</v>
      </c>
      <c r="EJ13" s="101">
        <f t="shared" si="32"/>
        <v>8.7520860374559598E-2</v>
      </c>
      <c r="EK13" s="85"/>
      <c r="EL13" s="102">
        <f t="shared" si="33"/>
        <v>2.4454003242600836E-5</v>
      </c>
      <c r="EM13" s="102">
        <f t="shared" si="33"/>
        <v>2.9668088262562583E-3</v>
      </c>
      <c r="EN13" s="102">
        <f t="shared" si="34"/>
        <v>3.9533705017739479E-2</v>
      </c>
      <c r="EO13" s="102" t="str">
        <f t="shared" si="34"/>
        <v>-</v>
      </c>
      <c r="EP13" s="102">
        <f t="shared" si="34"/>
        <v>2.8456923332305725E-4</v>
      </c>
      <c r="ER13" s="102">
        <f t="shared" si="35"/>
        <v>1.9572583703377501E-5</v>
      </c>
      <c r="ES13" s="103">
        <f t="shared" si="35"/>
        <v>2.7862914460852605E-3</v>
      </c>
      <c r="ET13" s="103">
        <f t="shared" si="36"/>
        <v>3.8109756097560975E-2</v>
      </c>
      <c r="EU13" s="103" t="str">
        <f t="shared" si="36"/>
        <v>-</v>
      </c>
      <c r="EV13" s="103">
        <f t="shared" si="36"/>
        <v>2.6810923671910221E-4</v>
      </c>
      <c r="EW13" s="85"/>
      <c r="EX13" s="102" t="str">
        <f t="shared" si="37"/>
        <v>-</v>
      </c>
      <c r="EY13" s="103" t="str">
        <f t="shared" si="37"/>
        <v>-</v>
      </c>
      <c r="EZ13" s="103" t="str">
        <f t="shared" si="38"/>
        <v>-</v>
      </c>
      <c r="FA13" s="103" t="str">
        <f t="shared" si="38"/>
        <v>-</v>
      </c>
      <c r="FB13" s="103" t="str">
        <f t="shared" si="38"/>
        <v>-</v>
      </c>
      <c r="FC13" s="85"/>
      <c r="FD13" s="102" t="str">
        <f t="shared" si="39"/>
        <v>-</v>
      </c>
      <c r="FE13" s="103" t="str">
        <f t="shared" si="39"/>
        <v>-</v>
      </c>
      <c r="FF13" s="103" t="str">
        <f t="shared" si="40"/>
        <v>-</v>
      </c>
      <c r="FG13" s="103" t="str">
        <f t="shared" si="40"/>
        <v>-</v>
      </c>
      <c r="FH13" s="103" t="str">
        <f t="shared" si="40"/>
        <v>-</v>
      </c>
      <c r="FI13" s="85"/>
      <c r="FJ13" s="102">
        <f t="shared" si="41"/>
        <v>1.0204081632653062E-2</v>
      </c>
      <c r="FK13" s="102">
        <f t="shared" si="41"/>
        <v>0.10526315789473685</v>
      </c>
      <c r="FL13" s="102">
        <f t="shared" si="42"/>
        <v>0.6</v>
      </c>
      <c r="FM13" s="102" t="str">
        <f t="shared" si="42"/>
        <v>-</v>
      </c>
      <c r="FN13" s="102">
        <f t="shared" si="42"/>
        <v>3.1818181818181815E-2</v>
      </c>
      <c r="FP13" s="104" t="s">
        <v>230</v>
      </c>
      <c r="FQ13" s="104" t="s">
        <v>230</v>
      </c>
      <c r="FR13" s="104" t="s">
        <v>230</v>
      </c>
      <c r="FS13" s="104" t="s">
        <v>230</v>
      </c>
      <c r="FT13" s="105">
        <v>2.0999999999999999E-3</v>
      </c>
      <c r="FV13" s="106" t="str">
        <f t="shared" si="43"/>
        <v>-</v>
      </c>
      <c r="FW13" s="106" t="str">
        <f t="shared" si="44"/>
        <v>-</v>
      </c>
      <c r="FX13" s="106" t="str">
        <f t="shared" si="45"/>
        <v>-</v>
      </c>
      <c r="FY13" s="106" t="str">
        <f t="shared" si="46"/>
        <v>-</v>
      </c>
      <c r="FZ13" s="106">
        <f t="shared" si="47"/>
        <v>4.9799615831535013E-8</v>
      </c>
      <c r="GF13" s="107">
        <v>2.9999999999999997E-4</v>
      </c>
      <c r="GH13" s="106" t="str">
        <f t="shared" si="49"/>
        <v>-</v>
      </c>
      <c r="GI13" s="106" t="str">
        <f t="shared" si="50"/>
        <v>-</v>
      </c>
      <c r="GJ13" s="106" t="str">
        <f t="shared" si="51"/>
        <v>-</v>
      </c>
      <c r="GK13" s="106" t="str">
        <f t="shared" si="52"/>
        <v>-</v>
      </c>
      <c r="GL13" s="108">
        <f>IF(ISERROR(GF13/$Q13/1000),"-",IF(GF13/$Q13/1000=0,"-",GF13/$Q13/1000))</f>
        <v>7.1142308330764306E-9</v>
      </c>
      <c r="GN13" s="42">
        <f t="shared" si="54"/>
        <v>4.2</v>
      </c>
      <c r="GO13" s="42">
        <f t="shared" si="55"/>
        <v>41971.69999999999</v>
      </c>
    </row>
    <row r="14" spans="1:197" s="118" customFormat="1" x14ac:dyDescent="0.25">
      <c r="A14" s="82" t="s">
        <v>243</v>
      </c>
      <c r="B14" s="81"/>
      <c r="C14" s="109">
        <f t="shared" si="0"/>
        <v>34.401200000000003</v>
      </c>
      <c r="D14" s="109">
        <f t="shared" si="0"/>
        <v>2.7103999999999999</v>
      </c>
      <c r="E14" s="109">
        <f t="shared" si="0"/>
        <v>2.569</v>
      </c>
      <c r="F14" s="109">
        <f t="shared" si="0"/>
        <v>0.1414</v>
      </c>
      <c r="G14" s="109">
        <f t="shared" si="0"/>
        <v>0.307</v>
      </c>
      <c r="H14" s="109">
        <f t="shared" si="0"/>
        <v>0.56359999999999999</v>
      </c>
      <c r="I14" s="109">
        <f t="shared" si="0"/>
        <v>37.982200000000006</v>
      </c>
      <c r="J14" s="109"/>
      <c r="K14" s="109">
        <f t="shared" si="1"/>
        <v>34.401200000000003</v>
      </c>
      <c r="L14" s="109">
        <f t="shared" si="1"/>
        <v>2.7103999999999999</v>
      </c>
      <c r="M14" s="109">
        <f t="shared" si="1"/>
        <v>2.569</v>
      </c>
      <c r="N14" s="109">
        <f t="shared" si="1"/>
        <v>0.1414</v>
      </c>
      <c r="O14" s="109">
        <f t="shared" si="1"/>
        <v>0.307</v>
      </c>
      <c r="P14" s="109">
        <f t="shared" si="1"/>
        <v>0.56359999999999999</v>
      </c>
      <c r="Q14" s="109">
        <f t="shared" si="1"/>
        <v>37.982200000000006</v>
      </c>
      <c r="R14" s="109"/>
      <c r="S14" s="110">
        <v>34.401200000000003</v>
      </c>
      <c r="T14" s="111">
        <f>SUM(U14:V14)</f>
        <v>2.7103999999999999</v>
      </c>
      <c r="U14" s="112">
        <v>2.569</v>
      </c>
      <c r="V14" s="112">
        <v>0.1414</v>
      </c>
      <c r="W14" s="110">
        <v>0.307</v>
      </c>
      <c r="X14" s="110">
        <v>0.56359999999999999</v>
      </c>
      <c r="Y14" s="113">
        <f t="shared" si="57"/>
        <v>37.982200000000006</v>
      </c>
      <c r="Z14" s="113"/>
      <c r="AA14" s="112" t="s">
        <v>230</v>
      </c>
      <c r="AB14" s="112" t="s">
        <v>230</v>
      </c>
      <c r="AC14" s="112" t="s">
        <v>230</v>
      </c>
      <c r="AD14" s="112" t="s">
        <v>230</v>
      </c>
      <c r="AE14" s="112" t="s">
        <v>230</v>
      </c>
      <c r="AF14" s="112" t="s">
        <v>230</v>
      </c>
      <c r="AG14" s="113">
        <f t="shared" si="58"/>
        <v>0</v>
      </c>
      <c r="AH14" s="113"/>
      <c r="AI14" s="112" t="s">
        <v>230</v>
      </c>
      <c r="AJ14" s="112" t="s">
        <v>230</v>
      </c>
      <c r="AK14" s="112" t="s">
        <v>230</v>
      </c>
      <c r="AL14" s="112" t="s">
        <v>230</v>
      </c>
      <c r="AM14" s="112" t="s">
        <v>230</v>
      </c>
      <c r="AN14" s="112" t="s">
        <v>230</v>
      </c>
      <c r="AO14" s="113">
        <f t="shared" si="59"/>
        <v>0</v>
      </c>
      <c r="AP14" s="113"/>
      <c r="AQ14" s="112" t="s">
        <v>230</v>
      </c>
      <c r="AR14" s="112" t="s">
        <v>230</v>
      </c>
      <c r="AS14" s="112" t="s">
        <v>230</v>
      </c>
      <c r="AT14" s="112" t="s">
        <v>230</v>
      </c>
      <c r="AU14" s="112" t="s">
        <v>230</v>
      </c>
      <c r="AV14" s="112" t="s">
        <v>230</v>
      </c>
      <c r="AW14" s="113">
        <f t="shared" si="60"/>
        <v>0</v>
      </c>
      <c r="AX14" s="113"/>
      <c r="AY14" s="112" t="s">
        <v>230</v>
      </c>
      <c r="AZ14" s="112" t="s">
        <v>230</v>
      </c>
      <c r="BA14" s="112" t="s">
        <v>230</v>
      </c>
      <c r="BB14" s="112" t="s">
        <v>230</v>
      </c>
      <c r="BC14" s="112" t="s">
        <v>230</v>
      </c>
      <c r="BD14" s="112" t="s">
        <v>230</v>
      </c>
      <c r="BE14" s="113">
        <f t="shared" si="61"/>
        <v>0</v>
      </c>
      <c r="BF14" s="113"/>
      <c r="BG14" s="109">
        <f t="shared" si="8"/>
        <v>34.3979</v>
      </c>
      <c r="BH14" s="109">
        <f t="shared" si="8"/>
        <v>2.6914000000000002</v>
      </c>
      <c r="BI14" s="109">
        <f t="shared" si="9"/>
        <v>0.29239999999999999</v>
      </c>
      <c r="BJ14" s="109">
        <f t="shared" si="9"/>
        <v>0.53539999999999999</v>
      </c>
      <c r="BK14" s="109">
        <f t="shared" si="9"/>
        <v>37.917100000000005</v>
      </c>
      <c r="BL14" s="109"/>
      <c r="BM14" s="109">
        <f t="shared" si="10"/>
        <v>34.3979</v>
      </c>
      <c r="BN14" s="109">
        <f t="shared" si="10"/>
        <v>2.6914000000000002</v>
      </c>
      <c r="BO14" s="109">
        <f t="shared" si="11"/>
        <v>0.29239999999999999</v>
      </c>
      <c r="BP14" s="109">
        <f t="shared" si="11"/>
        <v>0.53539999999999999</v>
      </c>
      <c r="BQ14" s="109">
        <f t="shared" si="11"/>
        <v>37.917100000000005</v>
      </c>
      <c r="BR14" s="109"/>
      <c r="BS14" s="110">
        <v>34.3979</v>
      </c>
      <c r="BT14" s="111">
        <f>SUM(BU14:BV14)</f>
        <v>2.6914000000000002</v>
      </c>
      <c r="BU14" s="112">
        <v>2.5527000000000002</v>
      </c>
      <c r="BV14" s="112">
        <v>0.13869999999999999</v>
      </c>
      <c r="BW14" s="110">
        <v>0.29239999999999999</v>
      </c>
      <c r="BX14" s="110">
        <v>0.53539999999999999</v>
      </c>
      <c r="BY14" s="113">
        <f t="shared" ref="BY14:BY23" si="65">SUM(BS14:BT14,BW14:BX14)</f>
        <v>37.917100000000005</v>
      </c>
      <c r="BZ14" s="109"/>
      <c r="CA14" s="112" t="s">
        <v>230</v>
      </c>
      <c r="CB14" s="112" t="s">
        <v>230</v>
      </c>
      <c r="CC14" s="112" t="s">
        <v>230</v>
      </c>
      <c r="CD14" s="112" t="s">
        <v>230</v>
      </c>
      <c r="CE14" s="112" t="s">
        <v>230</v>
      </c>
      <c r="CF14" s="112" t="s">
        <v>230</v>
      </c>
      <c r="CG14" s="113">
        <f t="shared" si="62"/>
        <v>0</v>
      </c>
      <c r="CH14" s="113"/>
      <c r="CI14" s="112" t="s">
        <v>230</v>
      </c>
      <c r="CJ14" s="112" t="s">
        <v>230</v>
      </c>
      <c r="CK14" s="112" t="s">
        <v>230</v>
      </c>
      <c r="CL14" s="112" t="s">
        <v>230</v>
      </c>
      <c r="CM14" s="112" t="s">
        <v>230</v>
      </c>
      <c r="CN14" s="112" t="s">
        <v>230</v>
      </c>
      <c r="CO14" s="113">
        <f t="shared" si="63"/>
        <v>0</v>
      </c>
      <c r="CP14" s="113"/>
      <c r="CQ14" s="112" t="s">
        <v>230</v>
      </c>
      <c r="CR14" s="112" t="s">
        <v>230</v>
      </c>
      <c r="CS14" s="112" t="s">
        <v>230</v>
      </c>
      <c r="CT14" s="112" t="s">
        <v>230</v>
      </c>
      <c r="CU14" s="112" t="s">
        <v>230</v>
      </c>
      <c r="CV14" s="112" t="s">
        <v>230</v>
      </c>
      <c r="CW14" s="113">
        <f t="shared" si="64"/>
        <v>0</v>
      </c>
      <c r="CX14" s="113"/>
      <c r="CY14" s="112" t="s">
        <v>230</v>
      </c>
      <c r="CZ14" s="112" t="s">
        <v>230</v>
      </c>
      <c r="DA14" s="112" t="s">
        <v>230</v>
      </c>
      <c r="DB14" s="112" t="s">
        <v>230</v>
      </c>
      <c r="DC14" s="112" t="s">
        <v>230</v>
      </c>
      <c r="DD14" s="112" t="s">
        <v>230</v>
      </c>
      <c r="DE14" s="113">
        <f t="shared" si="17"/>
        <v>0</v>
      </c>
      <c r="DF14" s="113"/>
      <c r="DG14" s="114">
        <f t="shared" si="18"/>
        <v>0.90571899468698491</v>
      </c>
      <c r="DH14" s="114">
        <f t="shared" si="18"/>
        <v>7.1359742195028178E-2</v>
      </c>
      <c r="DI14" s="114">
        <f t="shared" si="19"/>
        <v>8.0827334909510228E-3</v>
      </c>
      <c r="DJ14" s="114">
        <f t="shared" si="19"/>
        <v>1.4838529627035819E-2</v>
      </c>
      <c r="DK14" s="113"/>
      <c r="DL14" s="114">
        <f t="shared" si="20"/>
        <v>0.90571899468698491</v>
      </c>
      <c r="DM14" s="114">
        <f t="shared" si="20"/>
        <v>7.1359742195028178E-2</v>
      </c>
      <c r="DN14" s="114">
        <f t="shared" si="21"/>
        <v>8.0827334909510228E-3</v>
      </c>
      <c r="DO14" s="114">
        <f t="shared" si="21"/>
        <v>1.4838529627035819E-2</v>
      </c>
      <c r="DP14" s="113"/>
      <c r="DQ14" s="114" t="str">
        <f t="shared" si="22"/>
        <v>-</v>
      </c>
      <c r="DR14" s="114" t="str">
        <f t="shared" si="22"/>
        <v>-</v>
      </c>
      <c r="DS14" s="114" t="str">
        <f t="shared" si="23"/>
        <v>-</v>
      </c>
      <c r="DT14" s="114" t="str">
        <f t="shared" si="23"/>
        <v>-</v>
      </c>
      <c r="DU14" s="113"/>
      <c r="DV14" s="114" t="str">
        <f t="shared" si="24"/>
        <v>-</v>
      </c>
      <c r="DW14" s="114" t="str">
        <f t="shared" si="24"/>
        <v>-</v>
      </c>
      <c r="DX14" s="114" t="str">
        <f t="shared" si="25"/>
        <v>-</v>
      </c>
      <c r="DY14" s="114" t="str">
        <f t="shared" si="25"/>
        <v>-</v>
      </c>
      <c r="DZ14" s="113"/>
      <c r="EA14" s="114" t="str">
        <f t="shared" si="26"/>
        <v>-</v>
      </c>
      <c r="EB14" s="114" t="str">
        <f t="shared" si="26"/>
        <v>-</v>
      </c>
      <c r="EC14" s="114" t="str">
        <f t="shared" si="27"/>
        <v>-</v>
      </c>
      <c r="ED14" s="114" t="str">
        <f t="shared" si="27"/>
        <v>-</v>
      </c>
      <c r="EE14" s="113"/>
      <c r="EF14" s="115">
        <f t="shared" si="28"/>
        <v>5.2169421487603305E-2</v>
      </c>
      <c r="EG14" s="115" t="str">
        <f t="shared" si="29"/>
        <v>-</v>
      </c>
      <c r="EH14" s="115" t="str">
        <f t="shared" si="30"/>
        <v>-</v>
      </c>
      <c r="EI14" s="115" t="str">
        <f t="shared" si="31"/>
        <v>-</v>
      </c>
      <c r="EJ14" s="115">
        <f t="shared" si="32"/>
        <v>5.2169421487603305E-2</v>
      </c>
      <c r="EK14" s="113"/>
      <c r="EL14" s="116">
        <f t="shared" si="33"/>
        <v>9.9990407311372842E-4</v>
      </c>
      <c r="EM14" s="116">
        <f t="shared" si="33"/>
        <v>9.9298996458087384E-4</v>
      </c>
      <c r="EN14" s="116">
        <f t="shared" si="34"/>
        <v>9.52442996742671E-4</v>
      </c>
      <c r="EO14" s="116">
        <f t="shared" si="34"/>
        <v>9.4996451383960257E-4</v>
      </c>
      <c r="EP14" s="116">
        <f t="shared" si="34"/>
        <v>9.9828603924996431E-4</v>
      </c>
      <c r="EQ14" s="109"/>
      <c r="ER14" s="116">
        <f t="shared" si="35"/>
        <v>9.9990407311372842E-4</v>
      </c>
      <c r="ES14" s="117">
        <f t="shared" si="35"/>
        <v>9.9298996458087384E-4</v>
      </c>
      <c r="ET14" s="117">
        <f t="shared" si="36"/>
        <v>9.52442996742671E-4</v>
      </c>
      <c r="EU14" s="117">
        <f t="shared" si="36"/>
        <v>9.4996451383960257E-4</v>
      </c>
      <c r="EV14" s="117">
        <f t="shared" si="36"/>
        <v>9.9828603924996431E-4</v>
      </c>
      <c r="EW14" s="113"/>
      <c r="EX14" s="116" t="str">
        <f t="shared" si="37"/>
        <v>-</v>
      </c>
      <c r="EY14" s="117" t="str">
        <f t="shared" si="37"/>
        <v>-</v>
      </c>
      <c r="EZ14" s="117" t="str">
        <f t="shared" si="38"/>
        <v>-</v>
      </c>
      <c r="FA14" s="117" t="str">
        <f t="shared" si="38"/>
        <v>-</v>
      </c>
      <c r="FB14" s="117" t="str">
        <f t="shared" si="38"/>
        <v>-</v>
      </c>
      <c r="FC14" s="113"/>
      <c r="FD14" s="116" t="str">
        <f t="shared" si="39"/>
        <v>-</v>
      </c>
      <c r="FE14" s="117" t="str">
        <f t="shared" si="39"/>
        <v>-</v>
      </c>
      <c r="FF14" s="117" t="str">
        <f t="shared" si="40"/>
        <v>-</v>
      </c>
      <c r="FG14" s="117" t="str">
        <f t="shared" si="40"/>
        <v>-</v>
      </c>
      <c r="FH14" s="117" t="str">
        <f t="shared" si="40"/>
        <v>-</v>
      </c>
      <c r="FI14" s="113"/>
      <c r="FJ14" s="116" t="str">
        <f t="shared" si="41"/>
        <v>-</v>
      </c>
      <c r="FK14" s="116" t="str">
        <f t="shared" si="41"/>
        <v>-</v>
      </c>
      <c r="FL14" s="116" t="str">
        <f t="shared" si="42"/>
        <v>-</v>
      </c>
      <c r="FM14" s="116" t="str">
        <f t="shared" si="42"/>
        <v>-</v>
      </c>
      <c r="FN14" s="116" t="str">
        <f t="shared" si="42"/>
        <v>-</v>
      </c>
      <c r="FP14" s="119" t="s">
        <v>230</v>
      </c>
      <c r="FQ14" s="119" t="s">
        <v>230</v>
      </c>
      <c r="FR14" s="119" t="s">
        <v>230</v>
      </c>
      <c r="FS14" s="119" t="s">
        <v>230</v>
      </c>
      <c r="FT14" s="120">
        <v>0.2</v>
      </c>
      <c r="FV14" s="121" t="str">
        <f t="shared" si="43"/>
        <v>-</v>
      </c>
      <c r="FW14" s="121" t="str">
        <f t="shared" si="44"/>
        <v>-</v>
      </c>
      <c r="FX14" s="121" t="str">
        <f t="shared" si="45"/>
        <v>-</v>
      </c>
      <c r="FY14" s="121" t="str">
        <f t="shared" si="46"/>
        <v>-</v>
      </c>
      <c r="FZ14" s="121">
        <f t="shared" si="47"/>
        <v>5.2656244240723287E-6</v>
      </c>
      <c r="GB14" s="119" t="s">
        <v>230</v>
      </c>
      <c r="GC14" s="119" t="s">
        <v>230</v>
      </c>
      <c r="GD14" s="119" t="s">
        <v>230</v>
      </c>
      <c r="GE14" s="119" t="s">
        <v>230</v>
      </c>
      <c r="GF14" s="122">
        <v>1.5</v>
      </c>
      <c r="GH14" s="121" t="str">
        <f t="shared" si="49"/>
        <v>-</v>
      </c>
      <c r="GI14" s="121" t="str">
        <f t="shared" si="50"/>
        <v>-</v>
      </c>
      <c r="GJ14" s="121" t="str">
        <f t="shared" si="51"/>
        <v>-</v>
      </c>
      <c r="GK14" s="121" t="str">
        <f t="shared" si="52"/>
        <v>-</v>
      </c>
      <c r="GL14" s="121">
        <f t="shared" si="53"/>
        <v>3.9492183180542458E-5</v>
      </c>
      <c r="GN14" s="42">
        <f t="shared" si="54"/>
        <v>37.089300000000001</v>
      </c>
      <c r="GO14" s="42">
        <f t="shared" si="55"/>
        <v>37111.600000000006</v>
      </c>
    </row>
    <row r="15" spans="1:197" s="58" customFormat="1" x14ac:dyDescent="0.25">
      <c r="A15" s="82" t="s">
        <v>244</v>
      </c>
      <c r="B15" s="44"/>
      <c r="C15" s="123">
        <f t="shared" si="0"/>
        <v>67.924999999999997</v>
      </c>
      <c r="D15" s="124">
        <f t="shared" si="0"/>
        <v>4.5140000000000002</v>
      </c>
      <c r="E15" s="123">
        <f t="shared" si="0"/>
        <v>4.2089999999999996</v>
      </c>
      <c r="F15" s="45">
        <f t="shared" si="0"/>
        <v>0.30500000000000005</v>
      </c>
      <c r="G15" s="123">
        <f t="shared" si="0"/>
        <v>0.69599999999999995</v>
      </c>
      <c r="H15" s="45">
        <f t="shared" si="0"/>
        <v>0.11099999999999999</v>
      </c>
      <c r="I15" s="45">
        <f t="shared" si="0"/>
        <v>73.245999999999995</v>
      </c>
      <c r="J15" s="45"/>
      <c r="K15" s="45">
        <f t="shared" si="1"/>
        <v>67.924999999999997</v>
      </c>
      <c r="L15" s="45">
        <f t="shared" si="1"/>
        <v>4.5140000000000002</v>
      </c>
      <c r="M15" s="45">
        <f t="shared" si="1"/>
        <v>4.2089999999999996</v>
      </c>
      <c r="N15" s="45">
        <f t="shared" si="1"/>
        <v>0.30500000000000005</v>
      </c>
      <c r="O15" s="45">
        <f t="shared" si="1"/>
        <v>0.69599999999999995</v>
      </c>
      <c r="P15" s="45">
        <f t="shared" si="1"/>
        <v>0.11099999999999999</v>
      </c>
      <c r="Q15" s="45">
        <f t="shared" si="1"/>
        <v>73.245999999999995</v>
      </c>
      <c r="R15" s="45"/>
      <c r="S15" s="47">
        <v>58.12</v>
      </c>
      <c r="T15" s="125">
        <v>1.8049999999999999</v>
      </c>
      <c r="U15" s="126">
        <f>T15-V15</f>
        <v>1.5369999999999999</v>
      </c>
      <c r="V15" s="47">
        <v>0.26800000000000002</v>
      </c>
      <c r="W15" s="47">
        <v>0.36299999999999999</v>
      </c>
      <c r="X15" s="47">
        <v>0.10299999999999999</v>
      </c>
      <c r="Y15" s="49">
        <f t="shared" si="57"/>
        <v>60.390999999999998</v>
      </c>
      <c r="Z15" s="49"/>
      <c r="AA15" s="47">
        <v>4.7869999999999999</v>
      </c>
      <c r="AB15" s="125">
        <v>0.42399999999999999</v>
      </c>
      <c r="AC15" s="126">
        <f>AB15-AD15</f>
        <v>0.39200000000000002</v>
      </c>
      <c r="AD15" s="47">
        <v>3.2000000000000001E-2</v>
      </c>
      <c r="AE15" s="47">
        <v>6.0999999999999999E-2</v>
      </c>
      <c r="AF15" s="47">
        <v>8.0000000000000002E-3</v>
      </c>
      <c r="AG15" s="49">
        <f t="shared" si="58"/>
        <v>5.28</v>
      </c>
      <c r="AH15" s="49"/>
      <c r="AI15" s="47">
        <v>5.0179999999999998</v>
      </c>
      <c r="AJ15" s="125">
        <v>2.2850000000000001</v>
      </c>
      <c r="AK15" s="126">
        <f>AJ15-AL15</f>
        <v>2.2800000000000002</v>
      </c>
      <c r="AL15" s="47">
        <v>5.0000000000000001E-3</v>
      </c>
      <c r="AM15" s="47">
        <v>0.27200000000000002</v>
      </c>
      <c r="AN15" s="47">
        <v>0</v>
      </c>
      <c r="AO15" s="49">
        <f t="shared" si="59"/>
        <v>7.5750000000000002</v>
      </c>
      <c r="AP15" s="49"/>
      <c r="AQ15" s="50" t="s">
        <v>230</v>
      </c>
      <c r="AR15" s="50" t="s">
        <v>230</v>
      </c>
      <c r="AS15" s="50" t="s">
        <v>230</v>
      </c>
      <c r="AT15" s="50" t="s">
        <v>230</v>
      </c>
      <c r="AU15" s="50" t="s">
        <v>230</v>
      </c>
      <c r="AV15" s="50" t="s">
        <v>230</v>
      </c>
      <c r="AW15" s="49">
        <f t="shared" si="60"/>
        <v>0</v>
      </c>
      <c r="AX15" s="49"/>
      <c r="AY15" s="50" t="s">
        <v>230</v>
      </c>
      <c r="AZ15" s="50" t="s">
        <v>230</v>
      </c>
      <c r="BA15" s="50" t="s">
        <v>230</v>
      </c>
      <c r="BB15" s="50" t="s">
        <v>230</v>
      </c>
      <c r="BC15" s="50" t="s">
        <v>230</v>
      </c>
      <c r="BD15" s="50" t="s">
        <v>230</v>
      </c>
      <c r="BE15" s="49">
        <f t="shared" si="61"/>
        <v>0</v>
      </c>
      <c r="BF15" s="49"/>
      <c r="BG15" s="45">
        <f t="shared" si="8"/>
        <v>79</v>
      </c>
      <c r="BH15" s="45">
        <f t="shared" si="8"/>
        <v>168</v>
      </c>
      <c r="BI15" s="45">
        <f t="shared" si="9"/>
        <v>118</v>
      </c>
      <c r="BJ15" s="45" t="str">
        <f t="shared" si="9"/>
        <v>-</v>
      </c>
      <c r="BK15" s="45">
        <f t="shared" si="9"/>
        <v>362</v>
      </c>
      <c r="BL15" s="45"/>
      <c r="BM15" s="45">
        <f t="shared" si="10"/>
        <v>79</v>
      </c>
      <c r="BN15" s="45">
        <f t="shared" si="10"/>
        <v>168</v>
      </c>
      <c r="BO15" s="45">
        <f t="shared" si="11"/>
        <v>118</v>
      </c>
      <c r="BP15" s="45" t="str">
        <f t="shared" si="11"/>
        <v>-</v>
      </c>
      <c r="BQ15" s="45">
        <f t="shared" si="11"/>
        <v>362</v>
      </c>
      <c r="BR15" s="45"/>
      <c r="BS15" s="47">
        <v>6</v>
      </c>
      <c r="BT15" s="125">
        <v>9</v>
      </c>
      <c r="BU15" s="53">
        <f>BT15-BV15</f>
        <v>5</v>
      </c>
      <c r="BV15" s="50">
        <v>4</v>
      </c>
      <c r="BW15" s="47">
        <v>26</v>
      </c>
      <c r="BX15" s="47">
        <v>-1</v>
      </c>
      <c r="BY15" s="49">
        <f t="shared" si="65"/>
        <v>40</v>
      </c>
      <c r="BZ15" s="45"/>
      <c r="CA15" s="47">
        <v>53</v>
      </c>
      <c r="CB15" s="125">
        <v>87</v>
      </c>
      <c r="CC15" s="53">
        <f>CB15-CD15</f>
        <v>71</v>
      </c>
      <c r="CD15" s="50">
        <v>16</v>
      </c>
      <c r="CE15" s="47">
        <v>37</v>
      </c>
      <c r="CF15" s="47">
        <v>-2</v>
      </c>
      <c r="CG15" s="49">
        <f t="shared" si="62"/>
        <v>175</v>
      </c>
      <c r="CH15" s="49"/>
      <c r="CI15" s="47">
        <v>20</v>
      </c>
      <c r="CJ15" s="125">
        <v>72</v>
      </c>
      <c r="CK15" s="53">
        <f>CJ15-CL15</f>
        <v>72</v>
      </c>
      <c r="CL15" s="50">
        <v>0</v>
      </c>
      <c r="CM15" s="47">
        <v>55</v>
      </c>
      <c r="CN15" s="47">
        <v>0</v>
      </c>
      <c r="CO15" s="49">
        <f t="shared" si="63"/>
        <v>147</v>
      </c>
      <c r="CP15" s="49"/>
      <c r="CQ15" s="50" t="s">
        <v>230</v>
      </c>
      <c r="CR15" s="50" t="s">
        <v>230</v>
      </c>
      <c r="CS15" s="50" t="s">
        <v>230</v>
      </c>
      <c r="CT15" s="50" t="s">
        <v>230</v>
      </c>
      <c r="CU15" s="50" t="s">
        <v>230</v>
      </c>
      <c r="CV15" s="50" t="s">
        <v>230</v>
      </c>
      <c r="CW15" s="49">
        <f t="shared" si="64"/>
        <v>0</v>
      </c>
      <c r="CX15" s="49"/>
      <c r="CY15" s="50" t="s">
        <v>230</v>
      </c>
      <c r="CZ15" s="50" t="s">
        <v>230</v>
      </c>
      <c r="DA15" s="50" t="s">
        <v>230</v>
      </c>
      <c r="DB15" s="50" t="s">
        <v>230</v>
      </c>
      <c r="DC15" s="50" t="s">
        <v>230</v>
      </c>
      <c r="DD15" s="50" t="s">
        <v>230</v>
      </c>
      <c r="DE15" s="49">
        <f t="shared" si="17"/>
        <v>0</v>
      </c>
      <c r="DF15" s="49"/>
      <c r="DG15" s="54">
        <f t="shared" si="18"/>
        <v>0.92735439477923709</v>
      </c>
      <c r="DH15" s="54">
        <f t="shared" si="18"/>
        <v>6.1627938727029472E-2</v>
      </c>
      <c r="DI15" s="54">
        <f t="shared" si="19"/>
        <v>9.5022253774950174E-3</v>
      </c>
      <c r="DJ15" s="54">
        <f t="shared" si="19"/>
        <v>1.5154411162384294E-3</v>
      </c>
      <c r="DK15" s="49"/>
      <c r="DL15" s="54">
        <f t="shared" si="20"/>
        <v>0.96239505886638732</v>
      </c>
      <c r="DM15" s="54">
        <f t="shared" si="20"/>
        <v>2.9888559553575864E-2</v>
      </c>
      <c r="DN15" s="54">
        <f t="shared" si="21"/>
        <v>6.0108294282260602E-3</v>
      </c>
      <c r="DO15" s="54">
        <f t="shared" si="21"/>
        <v>1.7055521518107002E-3</v>
      </c>
      <c r="DP15" s="49"/>
      <c r="DQ15" s="54">
        <f t="shared" si="22"/>
        <v>0.90662878787878787</v>
      </c>
      <c r="DR15" s="54">
        <f t="shared" si="22"/>
        <v>8.0303030303030293E-2</v>
      </c>
      <c r="DS15" s="54">
        <f t="shared" si="23"/>
        <v>1.1553030303030303E-2</v>
      </c>
      <c r="DT15" s="54">
        <f t="shared" si="23"/>
        <v>1.5151515151515152E-3</v>
      </c>
      <c r="DU15" s="49"/>
      <c r="DV15" s="54">
        <f t="shared" si="24"/>
        <v>0.66244224422442244</v>
      </c>
      <c r="DW15" s="54">
        <f t="shared" si="24"/>
        <v>0.30165016501650166</v>
      </c>
      <c r="DX15" s="54">
        <f t="shared" si="25"/>
        <v>3.5907590759075909E-2</v>
      </c>
      <c r="DY15" s="54" t="str">
        <f t="shared" si="25"/>
        <v>-</v>
      </c>
      <c r="DZ15" s="49"/>
      <c r="EA15" s="54" t="str">
        <f t="shared" si="26"/>
        <v>-</v>
      </c>
      <c r="EB15" s="54" t="str">
        <f t="shared" si="26"/>
        <v>-</v>
      </c>
      <c r="EC15" s="54" t="str">
        <f t="shared" si="27"/>
        <v>-</v>
      </c>
      <c r="ED15" s="54" t="str">
        <f t="shared" si="27"/>
        <v>-</v>
      </c>
      <c r="EE15" s="49"/>
      <c r="EF15" s="55">
        <f t="shared" si="28"/>
        <v>0.14847645429362882</v>
      </c>
      <c r="EG15" s="55">
        <f t="shared" si="29"/>
        <v>7.5471698113207544E-2</v>
      </c>
      <c r="EH15" s="55">
        <f t="shared" si="30"/>
        <v>2.1881838074398249E-3</v>
      </c>
      <c r="EI15" s="55" t="str">
        <f t="shared" si="31"/>
        <v>-</v>
      </c>
      <c r="EJ15" s="55">
        <f t="shared" si="32"/>
        <v>6.7567567567567571E-2</v>
      </c>
      <c r="EK15" s="49"/>
      <c r="EL15" s="56">
        <f t="shared" si="33"/>
        <v>1.1630474788369525E-3</v>
      </c>
      <c r="EM15" s="56">
        <f t="shared" si="33"/>
        <v>3.7217545414266723E-2</v>
      </c>
      <c r="EN15" s="56">
        <f t="shared" si="34"/>
        <v>0.16954022988505746</v>
      </c>
      <c r="EO15" s="56" t="str">
        <f t="shared" si="34"/>
        <v>-</v>
      </c>
      <c r="EP15" s="56">
        <f t="shared" si="34"/>
        <v>4.9422494061109141E-3</v>
      </c>
      <c r="EQ15" s="45"/>
      <c r="ER15" s="56">
        <f t="shared" si="35"/>
        <v>1.0323468685478321E-4</v>
      </c>
      <c r="ES15" s="57">
        <f t="shared" si="35"/>
        <v>4.9861495844875352E-3</v>
      </c>
      <c r="ET15" s="57">
        <f t="shared" si="36"/>
        <v>7.1625344352617082E-2</v>
      </c>
      <c r="EU15" s="57" t="str">
        <f t="shared" si="36"/>
        <v>-</v>
      </c>
      <c r="EV15" s="57">
        <f t="shared" si="36"/>
        <v>6.6235035021774773E-4</v>
      </c>
      <c r="EW15" s="49"/>
      <c r="EX15" s="56">
        <f t="shared" si="37"/>
        <v>1.1071652391894714E-2</v>
      </c>
      <c r="EY15" s="57">
        <f t="shared" si="37"/>
        <v>0.20518867924528303</v>
      </c>
      <c r="EZ15" s="57">
        <f t="shared" si="38"/>
        <v>0.60655737704918034</v>
      </c>
      <c r="FA15" s="57" t="str">
        <f t="shared" si="38"/>
        <v>-</v>
      </c>
      <c r="FB15" s="57">
        <f t="shared" si="38"/>
        <v>3.3143939393939392E-2</v>
      </c>
      <c r="FC15" s="49"/>
      <c r="FD15" s="56">
        <f t="shared" si="39"/>
        <v>3.9856516540454365E-3</v>
      </c>
      <c r="FE15" s="57">
        <f t="shared" si="39"/>
        <v>3.1509846827133474E-2</v>
      </c>
      <c r="FF15" s="57">
        <f t="shared" si="40"/>
        <v>0.20220588235294115</v>
      </c>
      <c r="FG15" s="57" t="str">
        <f t="shared" si="40"/>
        <v>-</v>
      </c>
      <c r="FH15" s="57">
        <f t="shared" si="40"/>
        <v>1.9405940594059406E-2</v>
      </c>
      <c r="FI15" s="49"/>
      <c r="FJ15" s="56" t="str">
        <f t="shared" si="41"/>
        <v>-</v>
      </c>
      <c r="FK15" s="56" t="str">
        <f t="shared" si="41"/>
        <v>-</v>
      </c>
      <c r="FL15" s="56" t="str">
        <f t="shared" si="42"/>
        <v>-</v>
      </c>
      <c r="FM15" s="56" t="str">
        <f t="shared" si="42"/>
        <v>-</v>
      </c>
      <c r="FN15" s="56" t="str">
        <f t="shared" si="42"/>
        <v>-</v>
      </c>
      <c r="FP15" s="62" t="s">
        <v>230</v>
      </c>
      <c r="FQ15" s="62" t="s">
        <v>230</v>
      </c>
      <c r="FR15" s="62" t="s">
        <v>230</v>
      </c>
      <c r="FS15" s="62" t="s">
        <v>230</v>
      </c>
      <c r="FT15" s="127">
        <v>153</v>
      </c>
      <c r="FV15" s="61" t="str">
        <f t="shared" si="43"/>
        <v>-</v>
      </c>
      <c r="FW15" s="61" t="str">
        <f t="shared" si="44"/>
        <v>-</v>
      </c>
      <c r="FX15" s="61" t="str">
        <f t="shared" si="45"/>
        <v>-</v>
      </c>
      <c r="FY15" s="61" t="str">
        <f t="shared" si="46"/>
        <v>-</v>
      </c>
      <c r="FZ15" s="61">
        <f t="shared" si="47"/>
        <v>2.0888512683286458E-3</v>
      </c>
      <c r="GB15" s="62" t="s">
        <v>230</v>
      </c>
      <c r="GC15" s="62" t="s">
        <v>230</v>
      </c>
      <c r="GD15" s="62" t="s">
        <v>230</v>
      </c>
      <c r="GE15" s="62" t="s">
        <v>230</v>
      </c>
      <c r="GF15" s="63">
        <v>142</v>
      </c>
      <c r="GH15" s="61" t="str">
        <f t="shared" si="49"/>
        <v>-</v>
      </c>
      <c r="GI15" s="61" t="str">
        <f t="shared" si="50"/>
        <v>-</v>
      </c>
      <c r="GJ15" s="61" t="str">
        <f t="shared" si="51"/>
        <v>-</v>
      </c>
      <c r="GK15" s="61" t="str">
        <f t="shared" si="52"/>
        <v>-</v>
      </c>
      <c r="GL15" s="61">
        <f t="shared" si="53"/>
        <v>1.9386724189716846E-3</v>
      </c>
      <c r="GN15" s="42">
        <f t="shared" si="54"/>
        <v>247</v>
      </c>
      <c r="GO15" s="42">
        <f t="shared" si="55"/>
        <v>72439</v>
      </c>
    </row>
    <row r="16" spans="1:197" s="118" customFormat="1" x14ac:dyDescent="0.25">
      <c r="A16" s="82" t="s">
        <v>234</v>
      </c>
      <c r="B16" s="81"/>
      <c r="C16" s="109">
        <f t="shared" si="0"/>
        <v>28.181699999999999</v>
      </c>
      <c r="D16" s="109">
        <f t="shared" si="0"/>
        <v>2.4499</v>
      </c>
      <c r="E16" s="109" t="str">
        <f t="shared" si="0"/>
        <v>-</v>
      </c>
      <c r="F16" s="109" t="str">
        <f t="shared" si="0"/>
        <v>-</v>
      </c>
      <c r="G16" s="109"/>
      <c r="H16" s="109">
        <f t="shared" si="0"/>
        <v>0.1613</v>
      </c>
      <c r="I16" s="109">
        <f t="shared" si="0"/>
        <v>31.1754</v>
      </c>
      <c r="J16" s="109"/>
      <c r="K16" s="109">
        <f t="shared" si="1"/>
        <v>28.181699999999999</v>
      </c>
      <c r="L16" s="109">
        <f t="shared" si="1"/>
        <v>2.4499</v>
      </c>
      <c r="M16" s="109" t="str">
        <f t="shared" si="1"/>
        <v>-</v>
      </c>
      <c r="N16" s="109" t="str">
        <f t="shared" si="1"/>
        <v>-</v>
      </c>
      <c r="O16" s="109">
        <f t="shared" si="1"/>
        <v>0.38250000000000001</v>
      </c>
      <c r="P16" s="109">
        <f t="shared" si="1"/>
        <v>0.1613</v>
      </c>
      <c r="Q16" s="109">
        <f t="shared" si="1"/>
        <v>31.1754</v>
      </c>
      <c r="R16" s="109"/>
      <c r="S16" s="110">
        <v>26.747399999999999</v>
      </c>
      <c r="T16" s="110">
        <v>1.9769000000000001</v>
      </c>
      <c r="U16" s="110"/>
      <c r="V16" s="110"/>
      <c r="W16" s="110">
        <v>0.30370000000000003</v>
      </c>
      <c r="X16" s="110">
        <v>0.16120000000000001</v>
      </c>
      <c r="Y16" s="113">
        <f t="shared" si="57"/>
        <v>29.1892</v>
      </c>
      <c r="Z16" s="113"/>
      <c r="AA16" s="110">
        <v>1.4342999999999999</v>
      </c>
      <c r="AB16" s="110">
        <v>0.47299999999999998</v>
      </c>
      <c r="AC16" s="110"/>
      <c r="AD16" s="110"/>
      <c r="AE16" s="110">
        <v>7.8799999999999995E-2</v>
      </c>
      <c r="AF16" s="110">
        <v>1E-4</v>
      </c>
      <c r="AG16" s="113">
        <f t="shared" si="58"/>
        <v>1.9861999999999997</v>
      </c>
      <c r="AH16" s="113"/>
      <c r="AI16" s="112" t="s">
        <v>230</v>
      </c>
      <c r="AJ16" s="112" t="s">
        <v>230</v>
      </c>
      <c r="AK16" s="112" t="s">
        <v>230</v>
      </c>
      <c r="AL16" s="112" t="s">
        <v>230</v>
      </c>
      <c r="AM16" s="112" t="s">
        <v>230</v>
      </c>
      <c r="AN16" s="112" t="s">
        <v>230</v>
      </c>
      <c r="AO16" s="113">
        <f t="shared" si="59"/>
        <v>0</v>
      </c>
      <c r="AP16" s="113"/>
      <c r="AQ16" s="112" t="s">
        <v>230</v>
      </c>
      <c r="AR16" s="112" t="s">
        <v>230</v>
      </c>
      <c r="AS16" s="112" t="s">
        <v>230</v>
      </c>
      <c r="AT16" s="112" t="s">
        <v>230</v>
      </c>
      <c r="AU16" s="112" t="s">
        <v>230</v>
      </c>
      <c r="AV16" s="112" t="s">
        <v>230</v>
      </c>
      <c r="AW16" s="113">
        <f t="shared" si="60"/>
        <v>0</v>
      </c>
      <c r="AX16" s="113"/>
      <c r="AY16" s="112" t="s">
        <v>230</v>
      </c>
      <c r="AZ16" s="112" t="s">
        <v>230</v>
      </c>
      <c r="BA16" s="112" t="s">
        <v>230</v>
      </c>
      <c r="BB16" s="112" t="s">
        <v>230</v>
      </c>
      <c r="BC16" s="112" t="s">
        <v>230</v>
      </c>
      <c r="BD16" s="112" t="s">
        <v>230</v>
      </c>
      <c r="BE16" s="113">
        <f t="shared" si="61"/>
        <v>0</v>
      </c>
      <c r="BF16" s="113"/>
      <c r="BG16" s="109">
        <f t="shared" si="8"/>
        <v>52.3</v>
      </c>
      <c r="BH16" s="109">
        <f t="shared" si="8"/>
        <v>60.8</v>
      </c>
      <c r="BI16" s="109">
        <f t="shared" si="9"/>
        <v>47.7</v>
      </c>
      <c r="BJ16" s="109">
        <f t="shared" si="9"/>
        <v>2.2000000000000002</v>
      </c>
      <c r="BK16" s="109">
        <f t="shared" si="9"/>
        <v>163</v>
      </c>
      <c r="BL16" s="109"/>
      <c r="BM16" s="109">
        <f t="shared" si="10"/>
        <v>52.3</v>
      </c>
      <c r="BN16" s="109">
        <f t="shared" si="10"/>
        <v>60.8</v>
      </c>
      <c r="BO16" s="109">
        <f t="shared" si="11"/>
        <v>47.7</v>
      </c>
      <c r="BP16" s="109">
        <f t="shared" si="11"/>
        <v>2.2000000000000002</v>
      </c>
      <c r="BQ16" s="109">
        <f t="shared" si="11"/>
        <v>163</v>
      </c>
      <c r="BR16" s="109"/>
      <c r="BS16" s="110">
        <v>16.3</v>
      </c>
      <c r="BT16" s="110">
        <v>7.5</v>
      </c>
      <c r="BU16" s="112" t="s">
        <v>230</v>
      </c>
      <c r="BV16" s="112" t="s">
        <v>230</v>
      </c>
      <c r="BW16" s="110">
        <v>8.8000000000000007</v>
      </c>
      <c r="BX16" s="110">
        <v>2.1</v>
      </c>
      <c r="BY16" s="113">
        <f t="shared" si="65"/>
        <v>34.700000000000003</v>
      </c>
      <c r="BZ16" s="109"/>
      <c r="CA16" s="110">
        <v>36</v>
      </c>
      <c r="CB16" s="110">
        <v>53.3</v>
      </c>
      <c r="CC16" s="112" t="s">
        <v>230</v>
      </c>
      <c r="CD16" s="112" t="s">
        <v>230</v>
      </c>
      <c r="CE16" s="110">
        <v>38.9</v>
      </c>
      <c r="CF16" s="110">
        <v>0.1</v>
      </c>
      <c r="CG16" s="113">
        <f t="shared" si="62"/>
        <v>128.29999999999998</v>
      </c>
      <c r="CH16" s="113"/>
      <c r="CI16" s="112" t="s">
        <v>230</v>
      </c>
      <c r="CJ16" s="112" t="s">
        <v>230</v>
      </c>
      <c r="CK16" s="112" t="s">
        <v>230</v>
      </c>
      <c r="CL16" s="112" t="s">
        <v>230</v>
      </c>
      <c r="CM16" s="112" t="s">
        <v>230</v>
      </c>
      <c r="CN16" s="112" t="s">
        <v>230</v>
      </c>
      <c r="CO16" s="113">
        <f t="shared" si="63"/>
        <v>0</v>
      </c>
      <c r="CP16" s="113"/>
      <c r="CQ16" s="112" t="s">
        <v>230</v>
      </c>
      <c r="CR16" s="112" t="s">
        <v>230</v>
      </c>
      <c r="CS16" s="112" t="s">
        <v>230</v>
      </c>
      <c r="CT16" s="112" t="s">
        <v>230</v>
      </c>
      <c r="CU16" s="112" t="s">
        <v>230</v>
      </c>
      <c r="CV16" s="112" t="s">
        <v>230</v>
      </c>
      <c r="CW16" s="113">
        <f t="shared" si="64"/>
        <v>0</v>
      </c>
      <c r="CX16" s="113"/>
      <c r="CY16" s="112" t="s">
        <v>230</v>
      </c>
      <c r="CZ16" s="112" t="s">
        <v>230</v>
      </c>
      <c r="DA16" s="112" t="s">
        <v>230</v>
      </c>
      <c r="DB16" s="112" t="s">
        <v>230</v>
      </c>
      <c r="DC16" s="112" t="s">
        <v>230</v>
      </c>
      <c r="DD16" s="112" t="s">
        <v>230</v>
      </c>
      <c r="DE16" s="113">
        <f t="shared" si="17"/>
        <v>0</v>
      </c>
      <c r="DF16" s="113"/>
      <c r="DG16" s="114">
        <f t="shared" si="18"/>
        <v>0.90397236282453475</v>
      </c>
      <c r="DH16" s="114">
        <f t="shared" si="18"/>
        <v>7.8584396671734766E-2</v>
      </c>
      <c r="DI16" s="114">
        <f t="shared" si="19"/>
        <v>1.2269289247291133E-2</v>
      </c>
      <c r="DJ16" s="114">
        <f t="shared" si="19"/>
        <v>5.1739512564393719E-3</v>
      </c>
      <c r="DK16" s="113"/>
      <c r="DL16" s="114">
        <f t="shared" si="20"/>
        <v>0.91634577172378828</v>
      </c>
      <c r="DM16" s="114">
        <f t="shared" si="20"/>
        <v>6.7727104545516836E-2</v>
      </c>
      <c r="DN16" s="114">
        <f t="shared" si="21"/>
        <v>1.040453318350623E-2</v>
      </c>
      <c r="DO16" s="114">
        <f t="shared" si="21"/>
        <v>5.5225905471886867E-3</v>
      </c>
      <c r="DP16" s="113"/>
      <c r="DQ16" s="114">
        <f t="shared" si="22"/>
        <v>0.72213271573859639</v>
      </c>
      <c r="DR16" s="114">
        <f t="shared" si="22"/>
        <v>0.23814318799718057</v>
      </c>
      <c r="DS16" s="114">
        <f t="shared" si="23"/>
        <v>3.967374886718357E-2</v>
      </c>
      <c r="DT16" s="114">
        <f t="shared" si="23"/>
        <v>5.0347397039573064E-5</v>
      </c>
      <c r="DU16" s="113"/>
      <c r="DV16" s="114" t="str">
        <f t="shared" si="24"/>
        <v>-</v>
      </c>
      <c r="DW16" s="114" t="str">
        <f t="shared" si="24"/>
        <v>-</v>
      </c>
      <c r="DX16" s="114" t="str">
        <f t="shared" si="25"/>
        <v>-</v>
      </c>
      <c r="DY16" s="114" t="str">
        <f t="shared" si="25"/>
        <v>-</v>
      </c>
      <c r="DZ16" s="113"/>
      <c r="EA16" s="114" t="str">
        <f t="shared" si="26"/>
        <v>-</v>
      </c>
      <c r="EB16" s="114" t="str">
        <f t="shared" si="26"/>
        <v>-</v>
      </c>
      <c r="EC16" s="114" t="str">
        <f t="shared" si="27"/>
        <v>-</v>
      </c>
      <c r="ED16" s="114" t="str">
        <f t="shared" si="27"/>
        <v>-</v>
      </c>
      <c r="EE16" s="113"/>
      <c r="EF16" s="115">
        <f t="shared" si="28"/>
        <v>0</v>
      </c>
      <c r="EG16" s="115">
        <f t="shared" si="29"/>
        <v>0</v>
      </c>
      <c r="EH16" s="115" t="str">
        <f t="shared" si="30"/>
        <v>-</v>
      </c>
      <c r="EI16" s="115" t="str">
        <f t="shared" si="31"/>
        <v>-</v>
      </c>
      <c r="EJ16" s="115" t="str">
        <f t="shared" si="32"/>
        <v>-</v>
      </c>
      <c r="EK16" s="113"/>
      <c r="EL16" s="116">
        <f t="shared" si="33"/>
        <v>1.8558142340596912E-3</v>
      </c>
      <c r="EM16" s="116">
        <f t="shared" si="33"/>
        <v>2.4817339483244216E-2</v>
      </c>
      <c r="EN16" s="116">
        <f t="shared" si="34"/>
        <v>0.12470588235294119</v>
      </c>
      <c r="EO16" s="116">
        <f t="shared" si="34"/>
        <v>1.3639181649101054E-2</v>
      </c>
      <c r="EP16" s="116">
        <f t="shared" si="34"/>
        <v>5.2284814308717767E-3</v>
      </c>
      <c r="EQ16" s="109"/>
      <c r="ER16" s="116">
        <f t="shared" si="35"/>
        <v>6.0940502628292845E-4</v>
      </c>
      <c r="ES16" s="117">
        <f t="shared" si="35"/>
        <v>3.7938186048864383E-3</v>
      </c>
      <c r="ET16" s="117">
        <f t="shared" si="36"/>
        <v>2.8975963121501483E-2</v>
      </c>
      <c r="EU16" s="117">
        <f t="shared" si="36"/>
        <v>1.3027295285359801E-2</v>
      </c>
      <c r="EV16" s="117">
        <f t="shared" si="36"/>
        <v>1.1887958560015349E-3</v>
      </c>
      <c r="EW16" s="113"/>
      <c r="EX16" s="116">
        <f t="shared" si="37"/>
        <v>2.5099351600083666E-2</v>
      </c>
      <c r="EY16" s="117">
        <f t="shared" si="37"/>
        <v>0.11268498942917547</v>
      </c>
      <c r="EZ16" s="117">
        <f t="shared" si="38"/>
        <v>0.49365482233502539</v>
      </c>
      <c r="FA16" s="117">
        <f t="shared" si="38"/>
        <v>1</v>
      </c>
      <c r="FB16" s="117">
        <f t="shared" si="38"/>
        <v>6.4595710401772227E-2</v>
      </c>
      <c r="FC16" s="113"/>
      <c r="FD16" s="116" t="str">
        <f t="shared" si="39"/>
        <v>-</v>
      </c>
      <c r="FE16" s="117" t="str">
        <f t="shared" si="39"/>
        <v>-</v>
      </c>
      <c r="FF16" s="117" t="str">
        <f t="shared" si="40"/>
        <v>-</v>
      </c>
      <c r="FG16" s="117" t="str">
        <f t="shared" si="40"/>
        <v>-</v>
      </c>
      <c r="FH16" s="117" t="str">
        <f t="shared" si="40"/>
        <v>-</v>
      </c>
      <c r="FI16" s="113"/>
      <c r="FJ16" s="116" t="str">
        <f t="shared" si="41"/>
        <v>-</v>
      </c>
      <c r="FK16" s="116" t="str">
        <f t="shared" si="41"/>
        <v>-</v>
      </c>
      <c r="FL16" s="116" t="str">
        <f t="shared" si="42"/>
        <v>-</v>
      </c>
      <c r="FM16" s="116" t="str">
        <f t="shared" si="42"/>
        <v>-</v>
      </c>
      <c r="FN16" s="116" t="str">
        <f t="shared" si="42"/>
        <v>-</v>
      </c>
      <c r="FP16" s="128">
        <v>-1.2</v>
      </c>
      <c r="FQ16" s="128">
        <v>61.7</v>
      </c>
      <c r="FR16" s="129" t="s">
        <v>230</v>
      </c>
      <c r="FS16" s="129" t="s">
        <v>230</v>
      </c>
      <c r="FT16" s="130">
        <f t="shared" si="56"/>
        <v>60.5</v>
      </c>
      <c r="FV16" s="121">
        <f t="shared" si="43"/>
        <v>-4.1111095884779297E-5</v>
      </c>
      <c r="FW16" s="121">
        <f t="shared" si="44"/>
        <v>3.1064343973416581E-2</v>
      </c>
      <c r="FX16" s="121" t="str">
        <f t="shared" si="45"/>
        <v>-</v>
      </c>
      <c r="FY16" s="121" t="str">
        <f t="shared" si="46"/>
        <v>-</v>
      </c>
      <c r="FZ16" s="121">
        <f t="shared" si="47"/>
        <v>1.9406326783297087E-3</v>
      </c>
      <c r="GB16" s="128">
        <v>1.9</v>
      </c>
      <c r="GC16" s="128">
        <v>105.8</v>
      </c>
      <c r="GD16" s="129" t="s">
        <v>230</v>
      </c>
      <c r="GE16" s="129" t="s">
        <v>230</v>
      </c>
      <c r="GF16" s="131">
        <f t="shared" si="48"/>
        <v>107.7</v>
      </c>
      <c r="GH16" s="121">
        <f t="shared" si="49"/>
        <v>6.5092568484233896E-5</v>
      </c>
      <c r="GI16" s="121">
        <f t="shared" si="50"/>
        <v>5.3267546067868293E-2</v>
      </c>
      <c r="GJ16" s="121" t="str">
        <f t="shared" si="51"/>
        <v>-</v>
      </c>
      <c r="GK16" s="121" t="str">
        <f t="shared" si="52"/>
        <v>-</v>
      </c>
      <c r="GL16" s="121">
        <f t="shared" si="53"/>
        <v>3.4546469331588367E-3</v>
      </c>
      <c r="GN16" s="42">
        <f t="shared" si="54"/>
        <v>113.1</v>
      </c>
      <c r="GO16" s="42">
        <f t="shared" si="55"/>
        <v>30631.599999999999</v>
      </c>
    </row>
    <row r="17" spans="1:197" s="118" customFormat="1" x14ac:dyDescent="0.25">
      <c r="A17" s="82" t="s">
        <v>235</v>
      </c>
      <c r="B17" s="81"/>
      <c r="C17" s="109">
        <f t="shared" si="0"/>
        <v>25.78</v>
      </c>
      <c r="D17" s="109">
        <f t="shared" si="0"/>
        <v>0.56900000000000006</v>
      </c>
      <c r="E17" s="109" t="str">
        <f t="shared" si="0"/>
        <v>-</v>
      </c>
      <c r="F17" s="109" t="str">
        <f t="shared" si="0"/>
        <v>-</v>
      </c>
      <c r="G17" s="109">
        <f t="shared" si="0"/>
        <v>0.27900000000000003</v>
      </c>
      <c r="H17" s="109">
        <f t="shared" si="0"/>
        <v>1E-3</v>
      </c>
      <c r="I17" s="109">
        <f t="shared" si="0"/>
        <v>26.628999999999998</v>
      </c>
      <c r="J17" s="109"/>
      <c r="K17" s="109">
        <f t="shared" si="1"/>
        <v>20.497</v>
      </c>
      <c r="L17" s="109">
        <f t="shared" si="1"/>
        <v>0.56900000000000006</v>
      </c>
      <c r="M17" s="109" t="str">
        <f t="shared" si="1"/>
        <v>-</v>
      </c>
      <c r="N17" s="109" t="str">
        <f t="shared" si="1"/>
        <v>-</v>
      </c>
      <c r="O17" s="109">
        <f t="shared" si="1"/>
        <v>0.27900000000000003</v>
      </c>
      <c r="P17" s="109">
        <f t="shared" si="1"/>
        <v>1E-3</v>
      </c>
      <c r="Q17" s="109">
        <f t="shared" si="1"/>
        <v>21.346</v>
      </c>
      <c r="R17" s="109"/>
      <c r="S17" s="110">
        <v>16.178000000000001</v>
      </c>
      <c r="T17" s="110">
        <v>0.26700000000000002</v>
      </c>
      <c r="U17" s="112" t="s">
        <v>230</v>
      </c>
      <c r="V17" s="112" t="s">
        <v>230</v>
      </c>
      <c r="W17" s="110">
        <v>0.16500000000000001</v>
      </c>
      <c r="X17" s="110">
        <v>0</v>
      </c>
      <c r="Y17" s="113">
        <f t="shared" si="57"/>
        <v>16.61</v>
      </c>
      <c r="Z17" s="113"/>
      <c r="AA17" s="110">
        <v>2.875</v>
      </c>
      <c r="AB17" s="110">
        <v>8.4000000000000005E-2</v>
      </c>
      <c r="AC17" s="112" t="s">
        <v>230</v>
      </c>
      <c r="AD17" s="112" t="s">
        <v>230</v>
      </c>
      <c r="AE17" s="110">
        <v>3.7999999999999999E-2</v>
      </c>
      <c r="AF17" s="110">
        <v>0</v>
      </c>
      <c r="AG17" s="113">
        <f t="shared" si="58"/>
        <v>2.9969999999999999</v>
      </c>
      <c r="AH17" s="113"/>
      <c r="AI17" s="110">
        <f>1.157+0.287</f>
        <v>1.444</v>
      </c>
      <c r="AJ17" s="110">
        <f>0.13+0.088</f>
        <v>0.218</v>
      </c>
      <c r="AK17" s="112" t="s">
        <v>230</v>
      </c>
      <c r="AL17" s="112" t="s">
        <v>230</v>
      </c>
      <c r="AM17" s="110">
        <f>0.039+0.037</f>
        <v>7.5999999999999998E-2</v>
      </c>
      <c r="AN17" s="110">
        <v>1E-3</v>
      </c>
      <c r="AO17" s="113">
        <f t="shared" si="59"/>
        <v>1.7389999999999999</v>
      </c>
      <c r="AP17" s="113"/>
      <c r="AQ17" s="112" t="s">
        <v>230</v>
      </c>
      <c r="AR17" s="112" t="s">
        <v>230</v>
      </c>
      <c r="AS17" s="112" t="s">
        <v>230</v>
      </c>
      <c r="AT17" s="112" t="s">
        <v>230</v>
      </c>
      <c r="AU17" s="112" t="s">
        <v>230</v>
      </c>
      <c r="AV17" s="112" t="s">
        <v>230</v>
      </c>
      <c r="AW17" s="113">
        <f t="shared" si="60"/>
        <v>0</v>
      </c>
      <c r="AX17" s="113"/>
      <c r="AY17" s="112">
        <f>0.846+2.159+2.278</f>
        <v>5.2829999999999995</v>
      </c>
      <c r="AZ17" s="112" t="s">
        <v>230</v>
      </c>
      <c r="BA17" s="112" t="s">
        <v>230</v>
      </c>
      <c r="BB17" s="112" t="s">
        <v>230</v>
      </c>
      <c r="BC17" s="112" t="s">
        <v>230</v>
      </c>
      <c r="BD17" s="112" t="s">
        <v>230</v>
      </c>
      <c r="BE17" s="113">
        <f t="shared" si="61"/>
        <v>5.2829999999999995</v>
      </c>
      <c r="BF17" s="113"/>
      <c r="BG17" s="109">
        <f t="shared" si="8"/>
        <v>49</v>
      </c>
      <c r="BH17" s="109">
        <f t="shared" si="8"/>
        <v>27</v>
      </c>
      <c r="BI17" s="109">
        <f t="shared" si="9"/>
        <v>71</v>
      </c>
      <c r="BJ17" s="109" t="str">
        <f t="shared" si="9"/>
        <v>-</v>
      </c>
      <c r="BK17" s="109">
        <f t="shared" si="9"/>
        <v>147</v>
      </c>
      <c r="BL17" s="109"/>
      <c r="BM17" s="109">
        <f t="shared" si="10"/>
        <v>48</v>
      </c>
      <c r="BN17" s="109">
        <f t="shared" si="10"/>
        <v>27</v>
      </c>
      <c r="BO17" s="109">
        <f t="shared" si="11"/>
        <v>71</v>
      </c>
      <c r="BP17" s="109" t="str">
        <f t="shared" si="11"/>
        <v>-</v>
      </c>
      <c r="BQ17" s="109">
        <f t="shared" si="11"/>
        <v>146</v>
      </c>
      <c r="BR17" s="109"/>
      <c r="BS17" s="110">
        <v>5</v>
      </c>
      <c r="BT17" s="110">
        <v>5</v>
      </c>
      <c r="BU17" s="112" t="s">
        <v>230</v>
      </c>
      <c r="BV17" s="112" t="s">
        <v>230</v>
      </c>
      <c r="BW17" s="110">
        <v>14</v>
      </c>
      <c r="BX17" s="110">
        <v>0</v>
      </c>
      <c r="BY17" s="113">
        <f t="shared" si="65"/>
        <v>24</v>
      </c>
      <c r="BZ17" s="109"/>
      <c r="CA17" s="110">
        <v>40</v>
      </c>
      <c r="CB17" s="110">
        <v>17</v>
      </c>
      <c r="CC17" s="112" t="s">
        <v>230</v>
      </c>
      <c r="CD17" s="112" t="s">
        <v>230</v>
      </c>
      <c r="CE17" s="110">
        <v>26</v>
      </c>
      <c r="CF17" s="110">
        <v>0</v>
      </c>
      <c r="CG17" s="113">
        <f t="shared" si="62"/>
        <v>83</v>
      </c>
      <c r="CH17" s="113"/>
      <c r="CI17" s="110">
        <v>3</v>
      </c>
      <c r="CJ17" s="110">
        <f>3+2</f>
        <v>5</v>
      </c>
      <c r="CK17" s="112" t="s">
        <v>230</v>
      </c>
      <c r="CL17" s="112" t="s">
        <v>230</v>
      </c>
      <c r="CM17" s="110">
        <f>19+12</f>
        <v>31</v>
      </c>
      <c r="CN17" s="110">
        <v>0</v>
      </c>
      <c r="CO17" s="113">
        <f t="shared" si="63"/>
        <v>39</v>
      </c>
      <c r="CP17" s="113"/>
      <c r="CQ17" s="112" t="s">
        <v>230</v>
      </c>
      <c r="CR17" s="112" t="s">
        <v>230</v>
      </c>
      <c r="CS17" s="112" t="s">
        <v>230</v>
      </c>
      <c r="CT17" s="112" t="s">
        <v>230</v>
      </c>
      <c r="CU17" s="112" t="s">
        <v>230</v>
      </c>
      <c r="CV17" s="112" t="s">
        <v>230</v>
      </c>
      <c r="CW17" s="113">
        <f t="shared" si="64"/>
        <v>0</v>
      </c>
      <c r="CX17" s="113"/>
      <c r="CY17" s="112">
        <v>1</v>
      </c>
      <c r="CZ17" s="112" t="s">
        <v>230</v>
      </c>
      <c r="DA17" s="112" t="s">
        <v>230</v>
      </c>
      <c r="DB17" s="112" t="s">
        <v>230</v>
      </c>
      <c r="DC17" s="112" t="s">
        <v>230</v>
      </c>
      <c r="DD17" s="112" t="s">
        <v>230</v>
      </c>
      <c r="DE17" s="113">
        <f t="shared" si="17"/>
        <v>1</v>
      </c>
      <c r="DF17" s="113"/>
      <c r="DG17" s="114">
        <f t="shared" si="18"/>
        <v>0.96022674037290356</v>
      </c>
      <c r="DH17" s="114">
        <f t="shared" si="18"/>
        <v>2.6656047971516914E-2</v>
      </c>
      <c r="DI17" s="114">
        <f t="shared" si="19"/>
        <v>1.3070364471095289E-2</v>
      </c>
      <c r="DJ17" s="114">
        <f t="shared" si="19"/>
        <v>4.68471844842125E-5</v>
      </c>
      <c r="DK17" s="113"/>
      <c r="DL17" s="114">
        <f t="shared" si="20"/>
        <v>0.97399157134256475</v>
      </c>
      <c r="DM17" s="114">
        <f t="shared" si="20"/>
        <v>1.6074653822998195E-2</v>
      </c>
      <c r="DN17" s="114">
        <f t="shared" si="21"/>
        <v>9.9337748344370865E-3</v>
      </c>
      <c r="DO17" s="114" t="str">
        <f t="shared" si="21"/>
        <v>-</v>
      </c>
      <c r="DP17" s="113"/>
      <c r="DQ17" s="114">
        <f t="shared" si="22"/>
        <v>0.95929262595929266</v>
      </c>
      <c r="DR17" s="114">
        <f t="shared" si="22"/>
        <v>2.8028028028028031E-2</v>
      </c>
      <c r="DS17" s="114">
        <f t="shared" si="23"/>
        <v>1.2679346012679346E-2</v>
      </c>
      <c r="DT17" s="114" t="str">
        <f t="shared" si="23"/>
        <v>-</v>
      </c>
      <c r="DU17" s="113"/>
      <c r="DV17" s="114">
        <f t="shared" si="24"/>
        <v>0.83036227717078781</v>
      </c>
      <c r="DW17" s="114">
        <f t="shared" si="24"/>
        <v>0.12535940195514664</v>
      </c>
      <c r="DX17" s="114">
        <f t="shared" si="25"/>
        <v>4.3703277745830937E-2</v>
      </c>
      <c r="DY17" s="114">
        <f t="shared" si="25"/>
        <v>5.750431282346176E-4</v>
      </c>
      <c r="DZ17" s="113"/>
      <c r="EA17" s="114" t="str">
        <f t="shared" si="26"/>
        <v>-</v>
      </c>
      <c r="EB17" s="114" t="str">
        <f t="shared" si="26"/>
        <v>-</v>
      </c>
      <c r="EC17" s="114" t="str">
        <f t="shared" si="27"/>
        <v>-</v>
      </c>
      <c r="ED17" s="114" t="str">
        <f t="shared" si="27"/>
        <v>-</v>
      </c>
      <c r="EE17" s="113"/>
      <c r="EF17" s="115" t="str">
        <f t="shared" si="28"/>
        <v>-</v>
      </c>
      <c r="EG17" s="115" t="str">
        <f t="shared" si="29"/>
        <v>-</v>
      </c>
      <c r="EH17" s="115" t="str">
        <f t="shared" si="30"/>
        <v>-</v>
      </c>
      <c r="EI17" s="115" t="str">
        <f t="shared" si="31"/>
        <v>-</v>
      </c>
      <c r="EJ17" s="115" t="str">
        <f t="shared" si="32"/>
        <v>-</v>
      </c>
      <c r="EK17" s="113"/>
      <c r="EL17" s="116">
        <f t="shared" si="33"/>
        <v>2.3418061179684832E-3</v>
      </c>
      <c r="EM17" s="116">
        <f t="shared" si="33"/>
        <v>4.7451669595782071E-2</v>
      </c>
      <c r="EN17" s="116">
        <f t="shared" si="34"/>
        <v>0.25448028673835121</v>
      </c>
      <c r="EO17" s="116" t="str">
        <f t="shared" si="34"/>
        <v>-</v>
      </c>
      <c r="EP17" s="116">
        <f t="shared" si="34"/>
        <v>6.8396889346950254E-3</v>
      </c>
      <c r="EQ17" s="109"/>
      <c r="ER17" s="116">
        <f t="shared" si="35"/>
        <v>3.0906168871306711E-4</v>
      </c>
      <c r="ES17" s="117">
        <f t="shared" si="35"/>
        <v>1.8726591760299623E-2</v>
      </c>
      <c r="ET17" s="117">
        <f t="shared" si="36"/>
        <v>8.484848484848484E-2</v>
      </c>
      <c r="EU17" s="117" t="str">
        <f t="shared" si="36"/>
        <v>-</v>
      </c>
      <c r="EV17" s="117">
        <f t="shared" si="36"/>
        <v>1.4449127031908489E-3</v>
      </c>
      <c r="EW17" s="113"/>
      <c r="EX17" s="116">
        <f t="shared" si="37"/>
        <v>1.3913043478260868E-2</v>
      </c>
      <c r="EY17" s="117">
        <f t="shared" si="37"/>
        <v>0.20238095238095238</v>
      </c>
      <c r="EZ17" s="117">
        <f t="shared" si="38"/>
        <v>0.68421052631578949</v>
      </c>
      <c r="FA17" s="117" t="str">
        <f t="shared" si="38"/>
        <v>-</v>
      </c>
      <c r="FB17" s="117">
        <f t="shared" si="38"/>
        <v>2.7694361027694361E-2</v>
      </c>
      <c r="FC17" s="113"/>
      <c r="FD17" s="116">
        <f t="shared" si="39"/>
        <v>2.0775623268698062E-3</v>
      </c>
      <c r="FE17" s="117">
        <f t="shared" si="39"/>
        <v>2.2935779816513763E-2</v>
      </c>
      <c r="FF17" s="117">
        <f t="shared" si="40"/>
        <v>0.40789473684210525</v>
      </c>
      <c r="FG17" s="117" t="str">
        <f t="shared" si="40"/>
        <v>-</v>
      </c>
      <c r="FH17" s="117">
        <f t="shared" si="40"/>
        <v>2.2426682001150087E-2</v>
      </c>
      <c r="FI17" s="113"/>
      <c r="FJ17" s="116" t="str">
        <f t="shared" si="41"/>
        <v>-</v>
      </c>
      <c r="FK17" s="116" t="str">
        <f t="shared" si="41"/>
        <v>-</v>
      </c>
      <c r="FL17" s="116" t="str">
        <f t="shared" si="42"/>
        <v>-</v>
      </c>
      <c r="FM17" s="116" t="str">
        <f t="shared" si="42"/>
        <v>-</v>
      </c>
      <c r="FN17" s="116" t="str">
        <f t="shared" si="42"/>
        <v>-</v>
      </c>
      <c r="FS17" s="118">
        <v>-1</v>
      </c>
      <c r="FT17" s="130">
        <v>40</v>
      </c>
      <c r="FV17" s="121" t="str">
        <f t="shared" si="43"/>
        <v>-</v>
      </c>
      <c r="FW17" s="121" t="str">
        <f t="shared" si="44"/>
        <v>-</v>
      </c>
      <c r="FX17" s="121" t="str">
        <f t="shared" si="45"/>
        <v>-</v>
      </c>
      <c r="FY17" s="121" t="str">
        <f t="shared" si="46"/>
        <v>-</v>
      </c>
      <c r="FZ17" s="121">
        <f t="shared" si="47"/>
        <v>1.8738873793685E-3</v>
      </c>
      <c r="GF17" s="131" t="str">
        <f t="shared" si="48"/>
        <v>-</v>
      </c>
      <c r="GH17" s="121" t="str">
        <f t="shared" si="49"/>
        <v>-</v>
      </c>
      <c r="GI17" s="121" t="str">
        <f t="shared" si="50"/>
        <v>-</v>
      </c>
      <c r="GJ17" s="121" t="str">
        <f t="shared" si="51"/>
        <v>-</v>
      </c>
      <c r="GK17" s="121" t="str">
        <f t="shared" si="52"/>
        <v>-</v>
      </c>
      <c r="GL17" s="121" t="str">
        <f t="shared" si="53"/>
        <v>-</v>
      </c>
      <c r="GN17" s="42">
        <f t="shared" si="54"/>
        <v>76</v>
      </c>
      <c r="GO17" s="42">
        <f t="shared" si="55"/>
        <v>26349</v>
      </c>
    </row>
    <row r="18" spans="1:197" s="118" customFormat="1" x14ac:dyDescent="0.25">
      <c r="A18" s="82" t="s">
        <v>236</v>
      </c>
      <c r="B18" s="81"/>
      <c r="C18" s="109">
        <f t="shared" si="0"/>
        <v>21.133200000000002</v>
      </c>
      <c r="D18" s="109">
        <f t="shared" si="0"/>
        <v>0.75040000000000007</v>
      </c>
      <c r="E18" s="109" t="str">
        <f t="shared" si="0"/>
        <v>-</v>
      </c>
      <c r="F18" s="109" t="str">
        <f t="shared" si="0"/>
        <v>-</v>
      </c>
      <c r="G18" s="109">
        <f t="shared" si="0"/>
        <v>0.14350000000000002</v>
      </c>
      <c r="H18" s="109">
        <f t="shared" si="0"/>
        <v>9.9900000000000003E-2</v>
      </c>
      <c r="I18" s="109">
        <f t="shared" si="0"/>
        <v>22.127000000000002</v>
      </c>
      <c r="J18" s="109"/>
      <c r="K18" s="109">
        <f t="shared" si="1"/>
        <v>17.803000000000001</v>
      </c>
      <c r="L18" s="109">
        <f t="shared" si="1"/>
        <v>0.75040000000000007</v>
      </c>
      <c r="M18" s="109" t="str">
        <f t="shared" si="1"/>
        <v>-</v>
      </c>
      <c r="N18" s="109" t="str">
        <f t="shared" si="1"/>
        <v>-</v>
      </c>
      <c r="O18" s="109">
        <f t="shared" si="1"/>
        <v>0.14350000000000002</v>
      </c>
      <c r="P18" s="109">
        <f t="shared" si="1"/>
        <v>9.9900000000000003E-2</v>
      </c>
      <c r="Q18" s="109">
        <f t="shared" si="1"/>
        <v>18.796800000000001</v>
      </c>
      <c r="R18" s="109"/>
      <c r="S18" s="110">
        <v>16.136199999999999</v>
      </c>
      <c r="T18" s="110">
        <v>0.67190000000000005</v>
      </c>
      <c r="U18" s="112" t="s">
        <v>230</v>
      </c>
      <c r="V18" s="112" t="s">
        <v>230</v>
      </c>
      <c r="W18" s="110">
        <v>5.4800000000000001E-2</v>
      </c>
      <c r="X18" s="110">
        <v>9.5899999999999999E-2</v>
      </c>
      <c r="Y18" s="113">
        <f t="shared" si="57"/>
        <v>16.9588</v>
      </c>
      <c r="Z18" s="113"/>
      <c r="AA18" s="110">
        <f>17.5871-S18</f>
        <v>1.4509000000000007</v>
      </c>
      <c r="AB18" s="132">
        <f>0.7294-T18</f>
        <v>5.7499999999999996E-2</v>
      </c>
      <c r="AC18" s="112" t="s">
        <v>230</v>
      </c>
      <c r="AD18" s="112" t="s">
        <v>230</v>
      </c>
      <c r="AE18" s="110">
        <f>0.0615-W18</f>
        <v>6.6999999999999976E-3</v>
      </c>
      <c r="AF18" s="110">
        <f>0.0999-X18</f>
        <v>4.0000000000000036E-3</v>
      </c>
      <c r="AG18" s="113">
        <f t="shared" si="58"/>
        <v>1.5191000000000008</v>
      </c>
      <c r="AH18" s="113"/>
      <c r="AI18" s="110">
        <v>0.21590000000000001</v>
      </c>
      <c r="AJ18" s="110">
        <v>2.1000000000000001E-2</v>
      </c>
      <c r="AK18" s="112" t="s">
        <v>230</v>
      </c>
      <c r="AL18" s="112" t="s">
        <v>230</v>
      </c>
      <c r="AM18" s="110">
        <v>8.2000000000000003E-2</v>
      </c>
      <c r="AN18" s="110">
        <v>0</v>
      </c>
      <c r="AO18" s="113">
        <f t="shared" si="59"/>
        <v>0.31890000000000002</v>
      </c>
      <c r="AP18" s="113"/>
      <c r="AQ18" s="112" t="s">
        <v>230</v>
      </c>
      <c r="AR18" s="112" t="s">
        <v>230</v>
      </c>
      <c r="AS18" s="112" t="s">
        <v>230</v>
      </c>
      <c r="AT18" s="112" t="s">
        <v>230</v>
      </c>
      <c r="AU18" s="112" t="s">
        <v>230</v>
      </c>
      <c r="AV18" s="112" t="s">
        <v>230</v>
      </c>
      <c r="AW18" s="113">
        <f t="shared" si="60"/>
        <v>0</v>
      </c>
      <c r="AX18" s="113"/>
      <c r="AY18" s="112">
        <f>0.3804+2.7445+0.1654+0.0399</f>
        <v>3.3301999999999996</v>
      </c>
      <c r="AZ18" s="112" t="s">
        <v>230</v>
      </c>
      <c r="BA18" s="112" t="s">
        <v>230</v>
      </c>
      <c r="BB18" s="112" t="s">
        <v>230</v>
      </c>
      <c r="BC18" s="112" t="s">
        <v>230</v>
      </c>
      <c r="BD18" s="112" t="s">
        <v>230</v>
      </c>
      <c r="BE18" s="113">
        <f t="shared" si="61"/>
        <v>3.3301999999999996</v>
      </c>
      <c r="BF18" s="113"/>
      <c r="BG18" s="109">
        <f t="shared" si="8"/>
        <v>9.1</v>
      </c>
      <c r="BH18" s="109">
        <f t="shared" si="8"/>
        <v>3.4</v>
      </c>
      <c r="BI18" s="109">
        <f t="shared" si="9"/>
        <v>10</v>
      </c>
      <c r="BJ18" s="109">
        <f t="shared" si="9"/>
        <v>0.1</v>
      </c>
      <c r="BK18" s="109">
        <f t="shared" si="9"/>
        <v>22.599999999999998</v>
      </c>
      <c r="BL18" s="109"/>
      <c r="BM18" s="109">
        <f t="shared" si="10"/>
        <v>9.1</v>
      </c>
      <c r="BN18" s="109">
        <f t="shared" si="10"/>
        <v>3.4</v>
      </c>
      <c r="BO18" s="109">
        <f t="shared" si="11"/>
        <v>10</v>
      </c>
      <c r="BP18" s="109">
        <f t="shared" si="11"/>
        <v>0.1</v>
      </c>
      <c r="BQ18" s="109">
        <f t="shared" si="11"/>
        <v>22.599999999999998</v>
      </c>
      <c r="BR18" s="109"/>
      <c r="BS18" s="110">
        <f>6.9</f>
        <v>6.9</v>
      </c>
      <c r="BT18" s="110">
        <v>0.7</v>
      </c>
      <c r="BU18" s="112" t="s">
        <v>230</v>
      </c>
      <c r="BV18" s="112" t="s">
        <v>230</v>
      </c>
      <c r="BW18" s="110">
        <v>0.3</v>
      </c>
      <c r="BX18" s="110">
        <v>0</v>
      </c>
      <c r="BY18" s="113">
        <f t="shared" si="65"/>
        <v>7.9</v>
      </c>
      <c r="BZ18" s="109"/>
      <c r="CA18" s="110">
        <f>8.7-BS18</f>
        <v>1.7999999999999989</v>
      </c>
      <c r="CB18" s="110">
        <f>3.3-BT18</f>
        <v>2.5999999999999996</v>
      </c>
      <c r="CC18" s="112" t="s">
        <v>230</v>
      </c>
      <c r="CD18" s="112" t="s">
        <v>230</v>
      </c>
      <c r="CE18" s="110">
        <f>5.2-BW18</f>
        <v>4.9000000000000004</v>
      </c>
      <c r="CF18" s="110">
        <f>0.1-BX18</f>
        <v>0.1</v>
      </c>
      <c r="CG18" s="113">
        <f t="shared" si="62"/>
        <v>9.3999999999999986</v>
      </c>
      <c r="CH18" s="113"/>
      <c r="CI18" s="110">
        <v>0.4</v>
      </c>
      <c r="CJ18" s="110">
        <v>0.1</v>
      </c>
      <c r="CK18" s="112" t="s">
        <v>230</v>
      </c>
      <c r="CL18" s="112" t="s">
        <v>230</v>
      </c>
      <c r="CM18" s="110">
        <v>4.8</v>
      </c>
      <c r="CN18" s="110">
        <v>0</v>
      </c>
      <c r="CO18" s="113">
        <f t="shared" si="63"/>
        <v>5.3</v>
      </c>
      <c r="CP18" s="113"/>
      <c r="CQ18" s="112" t="s">
        <v>230</v>
      </c>
      <c r="CR18" s="112" t="s">
        <v>230</v>
      </c>
      <c r="CS18" s="112" t="s">
        <v>230</v>
      </c>
      <c r="CT18" s="112" t="s">
        <v>230</v>
      </c>
      <c r="CU18" s="112" t="s">
        <v>230</v>
      </c>
      <c r="CV18" s="112" t="s">
        <v>230</v>
      </c>
      <c r="CW18" s="113">
        <f t="shared" si="64"/>
        <v>0</v>
      </c>
      <c r="CX18" s="113"/>
      <c r="CY18" s="112">
        <v>0</v>
      </c>
      <c r="CZ18" s="112" t="s">
        <v>230</v>
      </c>
      <c r="DA18" s="112" t="s">
        <v>230</v>
      </c>
      <c r="DB18" s="112" t="s">
        <v>230</v>
      </c>
      <c r="DC18" s="112" t="s">
        <v>230</v>
      </c>
      <c r="DD18" s="112" t="s">
        <v>230</v>
      </c>
      <c r="DE18" s="113">
        <f t="shared" si="17"/>
        <v>0</v>
      </c>
      <c r="DF18" s="113"/>
      <c r="DG18" s="114">
        <f t="shared" si="18"/>
        <v>0.94712929860401773</v>
      </c>
      <c r="DH18" s="114">
        <f t="shared" si="18"/>
        <v>3.9921688798093297E-2</v>
      </c>
      <c r="DI18" s="114">
        <f t="shared" si="19"/>
        <v>7.6342781750085124E-3</v>
      </c>
      <c r="DJ18" s="114">
        <f t="shared" si="19"/>
        <v>5.31473442288049E-3</v>
      </c>
      <c r="DK18" s="113"/>
      <c r="DL18" s="114">
        <f t="shared" si="20"/>
        <v>0.95149420949595487</v>
      </c>
      <c r="DM18" s="114">
        <f t="shared" si="20"/>
        <v>3.9619548552963658E-2</v>
      </c>
      <c r="DN18" s="114">
        <f t="shared" si="21"/>
        <v>3.2313607094841615E-3</v>
      </c>
      <c r="DO18" s="114">
        <f t="shared" si="21"/>
        <v>5.6548812415972826E-3</v>
      </c>
      <c r="DP18" s="113"/>
      <c r="DQ18" s="114">
        <f t="shared" si="22"/>
        <v>0.95510499637943524</v>
      </c>
      <c r="DR18" s="114">
        <f t="shared" si="22"/>
        <v>3.7851359357514297E-2</v>
      </c>
      <c r="DS18" s="114">
        <f t="shared" si="23"/>
        <v>4.4105062207886207E-3</v>
      </c>
      <c r="DT18" s="114">
        <f t="shared" si="23"/>
        <v>2.6331380422618665E-3</v>
      </c>
      <c r="DU18" s="113"/>
      <c r="DV18" s="114">
        <f t="shared" si="24"/>
        <v>0.6770147381624334</v>
      </c>
      <c r="DW18" s="114">
        <f t="shared" si="24"/>
        <v>6.5851364063969894E-2</v>
      </c>
      <c r="DX18" s="114">
        <f t="shared" si="25"/>
        <v>0.25713389777359674</v>
      </c>
      <c r="DY18" s="114" t="str">
        <f t="shared" si="25"/>
        <v>-</v>
      </c>
      <c r="DZ18" s="113"/>
      <c r="EA18" s="114" t="str">
        <f t="shared" si="26"/>
        <v>-</v>
      </c>
      <c r="EB18" s="114" t="str">
        <f t="shared" si="26"/>
        <v>-</v>
      </c>
      <c r="EC18" s="114" t="str">
        <f t="shared" si="27"/>
        <v>-</v>
      </c>
      <c r="ED18" s="114" t="str">
        <f t="shared" si="27"/>
        <v>-</v>
      </c>
      <c r="EE18" s="113"/>
      <c r="EF18" s="115" t="str">
        <f t="shared" si="28"/>
        <v>-</v>
      </c>
      <c r="EG18" s="115" t="str">
        <f t="shared" si="29"/>
        <v>-</v>
      </c>
      <c r="EH18" s="115" t="str">
        <f t="shared" si="30"/>
        <v>-</v>
      </c>
      <c r="EI18" s="115" t="str">
        <f t="shared" si="31"/>
        <v>-</v>
      </c>
      <c r="EJ18" s="115" t="str">
        <f t="shared" si="32"/>
        <v>-</v>
      </c>
      <c r="EK18" s="113"/>
      <c r="EL18" s="116">
        <f t="shared" si="33"/>
        <v>5.1114980621243613E-4</v>
      </c>
      <c r="EM18" s="116">
        <f t="shared" si="33"/>
        <v>4.5309168443496799E-3</v>
      </c>
      <c r="EN18" s="116">
        <f t="shared" si="34"/>
        <v>6.9686411149825767E-2</v>
      </c>
      <c r="EO18" s="116">
        <f t="shared" si="34"/>
        <v>1.001001001001001E-3</v>
      </c>
      <c r="EP18" s="116">
        <f t="shared" si="34"/>
        <v>1.2023323118828734E-3</v>
      </c>
      <c r="EQ18" s="109"/>
      <c r="ER18" s="116">
        <f t="shared" si="35"/>
        <v>4.2760997012927462E-4</v>
      </c>
      <c r="ES18" s="117">
        <f t="shared" si="35"/>
        <v>1.0418216996576871E-3</v>
      </c>
      <c r="ET18" s="117">
        <f t="shared" si="36"/>
        <v>5.4744525547445249E-3</v>
      </c>
      <c r="EU18" s="117" t="str">
        <f t="shared" si="36"/>
        <v>-</v>
      </c>
      <c r="EV18" s="117">
        <f t="shared" si="36"/>
        <v>4.6583484680519848E-4</v>
      </c>
      <c r="EW18" s="113"/>
      <c r="EX18" s="116">
        <f t="shared" si="37"/>
        <v>1.2406092770004811E-3</v>
      </c>
      <c r="EY18" s="117">
        <f t="shared" si="37"/>
        <v>4.521739130434782E-2</v>
      </c>
      <c r="EZ18" s="117">
        <f t="shared" si="38"/>
        <v>0.73134328358208989</v>
      </c>
      <c r="FA18" s="117">
        <f t="shared" si="38"/>
        <v>2.4999999999999977E-2</v>
      </c>
      <c r="FB18" s="117">
        <f t="shared" si="38"/>
        <v>6.1878743993153797E-3</v>
      </c>
      <c r="FC18" s="113"/>
      <c r="FD18" s="116">
        <f t="shared" si="39"/>
        <v>1.8527095877721167E-3</v>
      </c>
      <c r="FE18" s="117">
        <f t="shared" si="39"/>
        <v>4.7619047619047615E-3</v>
      </c>
      <c r="FF18" s="117">
        <f t="shared" si="40"/>
        <v>5.8536585365853655E-2</v>
      </c>
      <c r="FG18" s="117" t="str">
        <f t="shared" si="40"/>
        <v>-</v>
      </c>
      <c r="FH18" s="117">
        <f t="shared" si="40"/>
        <v>1.6619629978049544E-2</v>
      </c>
      <c r="FI18" s="113"/>
      <c r="FJ18" s="116" t="str">
        <f t="shared" si="41"/>
        <v>-</v>
      </c>
      <c r="FK18" s="116" t="str">
        <f t="shared" si="41"/>
        <v>-</v>
      </c>
      <c r="FL18" s="116" t="str">
        <f t="shared" si="42"/>
        <v>-</v>
      </c>
      <c r="FM18" s="116" t="str">
        <f t="shared" si="42"/>
        <v>-</v>
      </c>
      <c r="FN18" s="116" t="str">
        <f t="shared" si="42"/>
        <v>-</v>
      </c>
      <c r="FP18" s="129" t="s">
        <v>230</v>
      </c>
      <c r="FQ18" s="129" t="s">
        <v>230</v>
      </c>
      <c r="FR18" s="129" t="s">
        <v>230</v>
      </c>
      <c r="FS18" s="129" t="s">
        <v>230</v>
      </c>
      <c r="FT18" s="130">
        <v>-2.5</v>
      </c>
      <c r="FV18" s="121" t="str">
        <f t="shared" si="43"/>
        <v>-</v>
      </c>
      <c r="FW18" s="121" t="str">
        <f t="shared" si="44"/>
        <v>-</v>
      </c>
      <c r="FX18" s="121" t="str">
        <f t="shared" si="45"/>
        <v>-</v>
      </c>
      <c r="FY18" s="121" t="str">
        <f t="shared" si="46"/>
        <v>-</v>
      </c>
      <c r="FZ18" s="121">
        <f t="shared" si="47"/>
        <v>-1.3300136193394619E-4</v>
      </c>
      <c r="GB18" s="129">
        <v>2.1</v>
      </c>
      <c r="GC18" s="129">
        <v>7.3</v>
      </c>
      <c r="GD18" s="129" t="s">
        <v>230</v>
      </c>
      <c r="GE18" s="129" t="s">
        <v>230</v>
      </c>
      <c r="GF18" s="131">
        <v>26.5</v>
      </c>
      <c r="GH18" s="121">
        <f t="shared" si="49"/>
        <v>1.2382951623935657E-4</v>
      </c>
      <c r="GI18" s="121">
        <f t="shared" si="50"/>
        <v>4.8054769271279017E-3</v>
      </c>
      <c r="GJ18" s="121" t="str">
        <f t="shared" si="51"/>
        <v>-</v>
      </c>
      <c r="GK18" s="121" t="str">
        <f t="shared" si="52"/>
        <v>-</v>
      </c>
      <c r="GL18" s="121">
        <f t="shared" si="53"/>
        <v>1.4098144364998297E-3</v>
      </c>
      <c r="GN18" s="42">
        <f t="shared" si="54"/>
        <v>12.5</v>
      </c>
      <c r="GO18" s="42">
        <f t="shared" si="55"/>
        <v>21883.600000000002</v>
      </c>
    </row>
    <row r="19" spans="1:197" s="118" customFormat="1" x14ac:dyDescent="0.25">
      <c r="A19" s="82" t="s">
        <v>237</v>
      </c>
      <c r="B19" s="81"/>
      <c r="C19" s="109">
        <f t="shared" si="0"/>
        <v>19.5837</v>
      </c>
      <c r="D19" s="109">
        <f t="shared" si="0"/>
        <v>0.5905999999999999</v>
      </c>
      <c r="E19" s="109">
        <f t="shared" si="0"/>
        <v>0.45710000000000006</v>
      </c>
      <c r="F19" s="109">
        <f t="shared" si="0"/>
        <v>0.13029999999999997</v>
      </c>
      <c r="G19" s="109">
        <f t="shared" si="0"/>
        <v>8.7199999999999986E-2</v>
      </c>
      <c r="H19" s="109" t="str">
        <f t="shared" si="0"/>
        <v>-</v>
      </c>
      <c r="I19" s="109">
        <f t="shared" si="0"/>
        <v>20.261500000000002</v>
      </c>
      <c r="J19" s="109"/>
      <c r="K19" s="109">
        <f t="shared" si="1"/>
        <v>19.5837</v>
      </c>
      <c r="L19" s="109">
        <f t="shared" si="1"/>
        <v>0.5905999999999999</v>
      </c>
      <c r="M19" s="109">
        <f t="shared" si="1"/>
        <v>0.45710000000000006</v>
      </c>
      <c r="N19" s="109">
        <f t="shared" si="1"/>
        <v>0.13029999999999997</v>
      </c>
      <c r="O19" s="109">
        <f t="shared" si="1"/>
        <v>8.7199999999999986E-2</v>
      </c>
      <c r="P19" s="109" t="str">
        <f t="shared" si="1"/>
        <v>-</v>
      </c>
      <c r="Q19" s="109">
        <f t="shared" si="1"/>
        <v>20.261500000000002</v>
      </c>
      <c r="R19" s="109"/>
      <c r="S19" s="110">
        <v>19.012</v>
      </c>
      <c r="T19" s="110">
        <v>0.53439999999999999</v>
      </c>
      <c r="U19" s="110">
        <v>0.41210000000000002</v>
      </c>
      <c r="V19" s="111">
        <v>0.12229999999999996</v>
      </c>
      <c r="W19" s="110">
        <v>7.5999999999999998E-2</v>
      </c>
      <c r="X19" s="110">
        <v>0</v>
      </c>
      <c r="Y19" s="113">
        <f>SUM(S19:T19,W19:X19)</f>
        <v>19.622400000000003</v>
      </c>
      <c r="Z19" s="113"/>
      <c r="AA19" s="112">
        <v>0.2046</v>
      </c>
      <c r="AB19" s="112">
        <v>2.6499999999999999E-2</v>
      </c>
      <c r="AC19" s="112">
        <v>2.2499999999999999E-2</v>
      </c>
      <c r="AD19" s="112">
        <f>0.0265-0.0225</f>
        <v>4.0000000000000001E-3</v>
      </c>
      <c r="AE19" s="112">
        <v>5.5999999999999999E-3</v>
      </c>
      <c r="AF19" s="112">
        <v>0</v>
      </c>
      <c r="AG19" s="113">
        <f t="shared" si="58"/>
        <v>0.23669999999999999</v>
      </c>
      <c r="AH19" s="113"/>
      <c r="AI19" s="110">
        <v>0.2046</v>
      </c>
      <c r="AJ19" s="110">
        <v>2.6499999999999999E-2</v>
      </c>
      <c r="AK19" s="112">
        <v>2.2499999999999999E-2</v>
      </c>
      <c r="AL19" s="133">
        <f>0.0265-0.0225</f>
        <v>4.0000000000000001E-3</v>
      </c>
      <c r="AM19" s="110">
        <v>5.5999999999999999E-3</v>
      </c>
      <c r="AN19" s="110">
        <v>0</v>
      </c>
      <c r="AO19" s="113">
        <f t="shared" si="59"/>
        <v>0.23669999999999999</v>
      </c>
      <c r="AP19" s="113"/>
      <c r="AQ19" s="112">
        <v>0.16250000000000001</v>
      </c>
      <c r="AR19" s="112">
        <v>3.2000000000000002E-3</v>
      </c>
      <c r="AS19" s="112" t="s">
        <v>230</v>
      </c>
      <c r="AT19" s="112" t="s">
        <v>230</v>
      </c>
      <c r="AU19" s="112">
        <v>0</v>
      </c>
      <c r="AV19" s="112">
        <v>0</v>
      </c>
      <c r="AW19" s="113">
        <f t="shared" si="60"/>
        <v>0.16570000000000001</v>
      </c>
      <c r="AX19" s="113"/>
      <c r="AY19" s="112" t="s">
        <v>230</v>
      </c>
      <c r="AZ19" s="112" t="s">
        <v>230</v>
      </c>
      <c r="BA19" s="112" t="s">
        <v>230</v>
      </c>
      <c r="BB19" s="112" t="s">
        <v>230</v>
      </c>
      <c r="BC19" s="112" t="s">
        <v>230</v>
      </c>
      <c r="BD19" s="112" t="s">
        <v>230</v>
      </c>
      <c r="BE19" s="113">
        <f t="shared" si="61"/>
        <v>0</v>
      </c>
      <c r="BF19" s="113"/>
      <c r="BG19" s="109">
        <f t="shared" si="8"/>
        <v>2.4000000000000004</v>
      </c>
      <c r="BH19" s="109">
        <f t="shared" si="8"/>
        <v>9.8000000000000007</v>
      </c>
      <c r="BI19" s="109">
        <f t="shared" si="9"/>
        <v>4.7</v>
      </c>
      <c r="BJ19" s="109" t="str">
        <f t="shared" si="9"/>
        <v>-</v>
      </c>
      <c r="BK19" s="109">
        <f t="shared" si="9"/>
        <v>16.900000000000002</v>
      </c>
      <c r="BL19" s="109"/>
      <c r="BM19" s="109">
        <f t="shared" si="10"/>
        <v>2.4000000000000004</v>
      </c>
      <c r="BN19" s="109">
        <f t="shared" si="10"/>
        <v>9.8000000000000007</v>
      </c>
      <c r="BO19" s="109">
        <f t="shared" si="11"/>
        <v>4.7</v>
      </c>
      <c r="BP19" s="109" t="str">
        <f t="shared" si="11"/>
        <v>-</v>
      </c>
      <c r="BQ19" s="109">
        <f t="shared" si="11"/>
        <v>16.900000000000002</v>
      </c>
      <c r="BR19" s="109"/>
      <c r="BS19" s="110">
        <v>2.2000000000000002</v>
      </c>
      <c r="BT19" s="110">
        <v>3.8</v>
      </c>
      <c r="BU19" s="112" t="s">
        <v>230</v>
      </c>
      <c r="BV19" s="112" t="s">
        <v>230</v>
      </c>
      <c r="BW19" s="110">
        <v>3.6</v>
      </c>
      <c r="BX19" s="110">
        <v>0</v>
      </c>
      <c r="BY19" s="113">
        <f t="shared" si="65"/>
        <v>9.6</v>
      </c>
      <c r="BZ19" s="109"/>
      <c r="CA19" s="112" t="s">
        <v>230</v>
      </c>
      <c r="CB19" s="112" t="s">
        <v>230</v>
      </c>
      <c r="CC19" s="112" t="s">
        <v>230</v>
      </c>
      <c r="CD19" s="112" t="s">
        <v>230</v>
      </c>
      <c r="CE19" s="112" t="s">
        <v>230</v>
      </c>
      <c r="CF19" s="112" t="s">
        <v>230</v>
      </c>
      <c r="CG19" s="113">
        <f t="shared" si="62"/>
        <v>0</v>
      </c>
      <c r="CH19" s="113"/>
      <c r="CI19" s="110">
        <v>0.2</v>
      </c>
      <c r="CJ19" s="110">
        <v>5.2</v>
      </c>
      <c r="CK19" s="112" t="s">
        <v>230</v>
      </c>
      <c r="CL19" s="112" t="s">
        <v>230</v>
      </c>
      <c r="CM19" s="110">
        <v>1.1000000000000001</v>
      </c>
      <c r="CN19" s="110">
        <v>0</v>
      </c>
      <c r="CO19" s="113">
        <f t="shared" si="63"/>
        <v>6.5</v>
      </c>
      <c r="CP19" s="113"/>
      <c r="CQ19" s="112" t="s">
        <v>230</v>
      </c>
      <c r="CR19" s="110">
        <v>0.8</v>
      </c>
      <c r="CS19" s="112" t="s">
        <v>230</v>
      </c>
      <c r="CT19" s="112" t="s">
        <v>230</v>
      </c>
      <c r="CU19" s="112" t="s">
        <v>230</v>
      </c>
      <c r="CV19" s="112" t="s">
        <v>230</v>
      </c>
      <c r="CW19" s="113">
        <f>SUM(CQ19:CV19)</f>
        <v>0.8</v>
      </c>
      <c r="CX19" s="113"/>
      <c r="CY19" s="112" t="s">
        <v>230</v>
      </c>
      <c r="CZ19" s="112" t="s">
        <v>230</v>
      </c>
      <c r="DA19" s="112" t="s">
        <v>230</v>
      </c>
      <c r="DB19" s="112" t="s">
        <v>230</v>
      </c>
      <c r="DC19" s="112" t="s">
        <v>230</v>
      </c>
      <c r="DD19" s="112" t="s">
        <v>230</v>
      </c>
      <c r="DE19" s="113">
        <f t="shared" si="17"/>
        <v>0</v>
      </c>
      <c r="DF19" s="113"/>
      <c r="DG19" s="114">
        <f t="shared" si="18"/>
        <v>0.96654739283863478</v>
      </c>
      <c r="DH19" s="114">
        <f t="shared" si="18"/>
        <v>2.9148878414727433E-2</v>
      </c>
      <c r="DI19" s="114">
        <f t="shared" si="19"/>
        <v>4.3037287466377106E-3</v>
      </c>
      <c r="DJ19" s="114" t="str">
        <f t="shared" si="19"/>
        <v>-</v>
      </c>
      <c r="DK19" s="113"/>
      <c r="DL19" s="114">
        <f t="shared" si="20"/>
        <v>0.96889269406392686</v>
      </c>
      <c r="DM19" s="114">
        <f t="shared" si="20"/>
        <v>2.723418134377038E-2</v>
      </c>
      <c r="DN19" s="114">
        <f t="shared" si="21"/>
        <v>3.8731245923026738E-3</v>
      </c>
      <c r="DO19" s="114" t="str">
        <f t="shared" si="21"/>
        <v>-</v>
      </c>
      <c r="DP19" s="113"/>
      <c r="DQ19" s="114">
        <f t="shared" si="22"/>
        <v>0.86438529784537388</v>
      </c>
      <c r="DR19" s="114">
        <f t="shared" si="22"/>
        <v>0.11195606252640473</v>
      </c>
      <c r="DS19" s="114">
        <f t="shared" si="23"/>
        <v>2.3658639628221376E-2</v>
      </c>
      <c r="DT19" s="114" t="str">
        <f t="shared" si="23"/>
        <v>-</v>
      </c>
      <c r="DU19" s="113"/>
      <c r="DV19" s="114">
        <f t="shared" si="24"/>
        <v>0.86438529784537388</v>
      </c>
      <c r="DW19" s="114">
        <f t="shared" si="24"/>
        <v>0.11195606252640473</v>
      </c>
      <c r="DX19" s="114">
        <f t="shared" si="25"/>
        <v>2.3658639628221376E-2</v>
      </c>
      <c r="DY19" s="114" t="str">
        <f t="shared" si="25"/>
        <v>-</v>
      </c>
      <c r="DZ19" s="113"/>
      <c r="EA19" s="114">
        <f t="shared" si="26"/>
        <v>0.98068799034399512</v>
      </c>
      <c r="EB19" s="114">
        <f t="shared" si="26"/>
        <v>1.9312009656004828E-2</v>
      </c>
      <c r="EC19" s="114" t="str">
        <f t="shared" si="27"/>
        <v>-</v>
      </c>
      <c r="ED19" s="114" t="str">
        <f t="shared" si="27"/>
        <v>-</v>
      </c>
      <c r="EE19" s="113"/>
      <c r="EF19" s="115">
        <f t="shared" si="28"/>
        <v>0.22885479041916162</v>
      </c>
      <c r="EG19" s="115">
        <f t="shared" si="29"/>
        <v>0.15094339622641509</v>
      </c>
      <c r="EH19" s="115">
        <f t="shared" si="30"/>
        <v>0.15094339622641509</v>
      </c>
      <c r="EI19" s="115" t="str">
        <f t="shared" si="31"/>
        <v>-</v>
      </c>
      <c r="EJ19" s="115">
        <f t="shared" si="32"/>
        <v>0.22062309515746698</v>
      </c>
      <c r="EK19" s="113"/>
      <c r="EL19" s="116">
        <f t="shared" si="33"/>
        <v>1.2255089691937685E-4</v>
      </c>
      <c r="EM19" s="116">
        <f t="shared" si="33"/>
        <v>1.6593294954283785E-2</v>
      </c>
      <c r="EN19" s="116">
        <f t="shared" si="34"/>
        <v>5.3899082568807349E-2</v>
      </c>
      <c r="EO19" s="116" t="str">
        <f t="shared" si="34"/>
        <v>-</v>
      </c>
      <c r="EP19" s="116">
        <f t="shared" si="34"/>
        <v>8.3409421809836387E-4</v>
      </c>
      <c r="EQ19" s="109"/>
      <c r="ER19" s="116">
        <f t="shared" si="35"/>
        <v>1.1571638964864297E-4</v>
      </c>
      <c r="ES19" s="117">
        <f t="shared" si="35"/>
        <v>7.1107784431137721E-3</v>
      </c>
      <c r="ET19" s="117">
        <f t="shared" si="36"/>
        <v>4.736842105263158E-2</v>
      </c>
      <c r="EU19" s="117" t="str">
        <f t="shared" si="36"/>
        <v>-</v>
      </c>
      <c r="EV19" s="117">
        <f t="shared" si="36"/>
        <v>4.8923679060665348E-4</v>
      </c>
      <c r="EW19" s="113"/>
      <c r="EX19" s="116" t="str">
        <f t="shared" si="37"/>
        <v>-</v>
      </c>
      <c r="EY19" s="117" t="str">
        <f t="shared" si="37"/>
        <v>-</v>
      </c>
      <c r="EZ19" s="117" t="str">
        <f t="shared" si="38"/>
        <v>-</v>
      </c>
      <c r="FA19" s="117" t="str">
        <f t="shared" si="38"/>
        <v>-</v>
      </c>
      <c r="FB19" s="117" t="str">
        <f t="shared" si="38"/>
        <v>-</v>
      </c>
      <c r="FC19" s="113"/>
      <c r="FD19" s="116">
        <f t="shared" si="39"/>
        <v>9.7751710654936461E-4</v>
      </c>
      <c r="FE19" s="117">
        <f t="shared" si="39"/>
        <v>0.19622641509433963</v>
      </c>
      <c r="FF19" s="117">
        <f t="shared" si="40"/>
        <v>0.19642857142857145</v>
      </c>
      <c r="FG19" s="117" t="str">
        <f t="shared" si="40"/>
        <v>-</v>
      </c>
      <c r="FH19" s="117">
        <f t="shared" si="40"/>
        <v>2.746092099704267E-2</v>
      </c>
      <c r="FI19" s="113"/>
      <c r="FJ19" s="116" t="str">
        <f t="shared" si="41"/>
        <v>-</v>
      </c>
      <c r="FK19" s="116">
        <f t="shared" si="41"/>
        <v>0.25</v>
      </c>
      <c r="FL19" s="116" t="str">
        <f t="shared" si="42"/>
        <v>-</v>
      </c>
      <c r="FM19" s="116" t="str">
        <f t="shared" si="42"/>
        <v>-</v>
      </c>
      <c r="FN19" s="116">
        <f t="shared" si="42"/>
        <v>4.8280024140012071E-3</v>
      </c>
      <c r="FT19" s="130"/>
      <c r="FV19" s="121" t="str">
        <f t="shared" si="43"/>
        <v>-</v>
      </c>
      <c r="FW19" s="121" t="str">
        <f t="shared" si="44"/>
        <v>-</v>
      </c>
      <c r="FX19" s="121" t="str">
        <f t="shared" si="45"/>
        <v>-</v>
      </c>
      <c r="FY19" s="121" t="str">
        <f t="shared" si="46"/>
        <v>-</v>
      </c>
      <c r="FZ19" s="121" t="str">
        <f t="shared" si="47"/>
        <v>-</v>
      </c>
      <c r="GF19" s="131" t="str">
        <f t="shared" si="48"/>
        <v>-</v>
      </c>
      <c r="GH19" s="121" t="str">
        <f t="shared" si="49"/>
        <v>-</v>
      </c>
      <c r="GI19" s="121" t="str">
        <f t="shared" si="50"/>
        <v>-</v>
      </c>
      <c r="GJ19" s="121" t="str">
        <f t="shared" si="51"/>
        <v>-</v>
      </c>
      <c r="GK19" s="121" t="str">
        <f t="shared" si="52"/>
        <v>-</v>
      </c>
      <c r="GL19" s="121" t="str">
        <f t="shared" si="53"/>
        <v>-</v>
      </c>
      <c r="GN19" s="42">
        <f t="shared" si="54"/>
        <v>12.200000000000001</v>
      </c>
      <c r="GO19" s="42">
        <f t="shared" si="55"/>
        <v>20174.3</v>
      </c>
    </row>
    <row r="20" spans="1:197" s="118" customFormat="1" x14ac:dyDescent="0.25">
      <c r="A20" s="82" t="s">
        <v>238</v>
      </c>
      <c r="B20" s="81"/>
      <c r="C20" s="109">
        <f t="shared" si="0"/>
        <v>15.5154</v>
      </c>
      <c r="D20" s="109">
        <f t="shared" si="0"/>
        <v>1.5483</v>
      </c>
      <c r="E20" s="109">
        <f t="shared" si="0"/>
        <v>1.4697</v>
      </c>
      <c r="F20" s="109">
        <f t="shared" si="0"/>
        <v>7.8600000000000003E-2</v>
      </c>
      <c r="G20" s="109">
        <f t="shared" si="0"/>
        <v>0.1721</v>
      </c>
      <c r="H20" s="109" t="str">
        <f t="shared" si="0"/>
        <v>-</v>
      </c>
      <c r="I20" s="109">
        <f t="shared" si="0"/>
        <v>17.235800000000001</v>
      </c>
      <c r="J20" s="109"/>
      <c r="K20" s="109">
        <f t="shared" si="1"/>
        <v>15.5154</v>
      </c>
      <c r="L20" s="109">
        <f t="shared" si="1"/>
        <v>1.5483</v>
      </c>
      <c r="M20" s="109">
        <f t="shared" si="1"/>
        <v>1.4697</v>
      </c>
      <c r="N20" s="109">
        <f t="shared" si="1"/>
        <v>7.8600000000000003E-2</v>
      </c>
      <c r="O20" s="109">
        <f t="shared" si="1"/>
        <v>0.1721</v>
      </c>
      <c r="P20" s="109" t="str">
        <f t="shared" si="1"/>
        <v>-</v>
      </c>
      <c r="Q20" s="109">
        <f t="shared" si="1"/>
        <v>17.235800000000001</v>
      </c>
      <c r="R20" s="109"/>
      <c r="S20" s="110">
        <v>15.0481</v>
      </c>
      <c r="T20" s="110">
        <f>SUM(U20:V20)</f>
        <v>1.5483</v>
      </c>
      <c r="U20" s="112">
        <v>1.4697</v>
      </c>
      <c r="V20" s="112">
        <v>7.8600000000000003E-2</v>
      </c>
      <c r="W20" s="110">
        <v>0.1721</v>
      </c>
      <c r="X20" s="110">
        <v>0</v>
      </c>
      <c r="Y20" s="113">
        <f t="shared" si="57"/>
        <v>16.7685</v>
      </c>
      <c r="Z20" s="113"/>
      <c r="AA20" s="112">
        <v>0.46729999999999999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3">
        <f t="shared" si="58"/>
        <v>0.46729999999999999</v>
      </c>
      <c r="AH20" s="113"/>
      <c r="AI20" s="112" t="s">
        <v>230</v>
      </c>
      <c r="AJ20" s="112" t="s">
        <v>230</v>
      </c>
      <c r="AK20" s="112" t="s">
        <v>230</v>
      </c>
      <c r="AL20" s="112" t="s">
        <v>230</v>
      </c>
      <c r="AM20" s="112" t="s">
        <v>230</v>
      </c>
      <c r="AN20" s="112" t="s">
        <v>230</v>
      </c>
      <c r="AO20" s="113">
        <f t="shared" si="59"/>
        <v>0</v>
      </c>
      <c r="AP20" s="113"/>
      <c r="AQ20" s="112" t="s">
        <v>230</v>
      </c>
      <c r="AR20" s="112" t="s">
        <v>230</v>
      </c>
      <c r="AS20" s="112" t="s">
        <v>230</v>
      </c>
      <c r="AT20" s="112" t="s">
        <v>230</v>
      </c>
      <c r="AU20" s="112" t="s">
        <v>230</v>
      </c>
      <c r="AV20" s="112" t="s">
        <v>230</v>
      </c>
      <c r="AW20" s="113">
        <f t="shared" si="60"/>
        <v>0</v>
      </c>
      <c r="AX20" s="113"/>
      <c r="AY20" s="112" t="s">
        <v>230</v>
      </c>
      <c r="AZ20" s="112" t="s">
        <v>230</v>
      </c>
      <c r="BA20" s="112" t="s">
        <v>230</v>
      </c>
      <c r="BB20" s="112" t="s">
        <v>230</v>
      </c>
      <c r="BC20" s="112" t="s">
        <v>230</v>
      </c>
      <c r="BD20" s="112" t="s">
        <v>230</v>
      </c>
      <c r="BE20" s="113">
        <f t="shared" si="61"/>
        <v>0</v>
      </c>
      <c r="BF20" s="113"/>
      <c r="BG20" s="109">
        <f t="shared" si="8"/>
        <v>3.7</v>
      </c>
      <c r="BH20" s="109">
        <f t="shared" si="8"/>
        <v>9.9</v>
      </c>
      <c r="BI20" s="109">
        <f t="shared" si="9"/>
        <v>15.1</v>
      </c>
      <c r="BJ20" s="109" t="str">
        <f t="shared" si="9"/>
        <v>-</v>
      </c>
      <c r="BK20" s="109">
        <f t="shared" si="9"/>
        <v>28.700000000000003</v>
      </c>
      <c r="BL20" s="109"/>
      <c r="BM20" s="109">
        <f t="shared" si="10"/>
        <v>3.7</v>
      </c>
      <c r="BN20" s="109">
        <f t="shared" si="10"/>
        <v>9.9</v>
      </c>
      <c r="BO20" s="109">
        <f t="shared" si="11"/>
        <v>15.1</v>
      </c>
      <c r="BP20" s="109" t="str">
        <f t="shared" si="11"/>
        <v>-</v>
      </c>
      <c r="BQ20" s="109">
        <f t="shared" si="11"/>
        <v>28.700000000000003</v>
      </c>
      <c r="BR20" s="109"/>
      <c r="BS20" s="110">
        <v>3.7</v>
      </c>
      <c r="BT20" s="111">
        <v>9.9</v>
      </c>
      <c r="BU20" s="112">
        <v>8.6</v>
      </c>
      <c r="BV20" s="112">
        <v>1.3</v>
      </c>
      <c r="BW20" s="110">
        <v>15.1</v>
      </c>
      <c r="BX20" s="110">
        <v>0</v>
      </c>
      <c r="BY20" s="113">
        <f t="shared" si="65"/>
        <v>28.700000000000003</v>
      </c>
      <c r="BZ20" s="109"/>
      <c r="CA20" s="112" t="s">
        <v>230</v>
      </c>
      <c r="CB20" s="112" t="s">
        <v>230</v>
      </c>
      <c r="CC20" s="112" t="s">
        <v>230</v>
      </c>
      <c r="CD20" s="112" t="s">
        <v>230</v>
      </c>
      <c r="CE20" s="112" t="s">
        <v>230</v>
      </c>
      <c r="CF20" s="112" t="s">
        <v>230</v>
      </c>
      <c r="CG20" s="113">
        <f t="shared" si="62"/>
        <v>0</v>
      </c>
      <c r="CH20" s="113"/>
      <c r="CI20" s="112" t="s">
        <v>230</v>
      </c>
      <c r="CJ20" s="112" t="s">
        <v>230</v>
      </c>
      <c r="CK20" s="112" t="s">
        <v>230</v>
      </c>
      <c r="CL20" s="112" t="s">
        <v>230</v>
      </c>
      <c r="CM20" s="112" t="s">
        <v>230</v>
      </c>
      <c r="CN20" s="112" t="s">
        <v>230</v>
      </c>
      <c r="CO20" s="113">
        <f t="shared" si="63"/>
        <v>0</v>
      </c>
      <c r="CP20" s="113"/>
      <c r="CQ20" s="112" t="s">
        <v>230</v>
      </c>
      <c r="CR20" s="112" t="s">
        <v>230</v>
      </c>
      <c r="CS20" s="112" t="s">
        <v>230</v>
      </c>
      <c r="CT20" s="112" t="s">
        <v>230</v>
      </c>
      <c r="CU20" s="112" t="s">
        <v>230</v>
      </c>
      <c r="CV20" s="112" t="s">
        <v>230</v>
      </c>
      <c r="CW20" s="113">
        <f t="shared" si="64"/>
        <v>0</v>
      </c>
      <c r="CX20" s="113"/>
      <c r="CY20" s="112" t="s">
        <v>230</v>
      </c>
      <c r="CZ20" s="112" t="s">
        <v>230</v>
      </c>
      <c r="DA20" s="112" t="s">
        <v>230</v>
      </c>
      <c r="DB20" s="112" t="s">
        <v>230</v>
      </c>
      <c r="DC20" s="112" t="s">
        <v>230</v>
      </c>
      <c r="DD20" s="112" t="s">
        <v>230</v>
      </c>
      <c r="DE20" s="113">
        <f t="shared" si="17"/>
        <v>0</v>
      </c>
      <c r="DF20" s="113"/>
      <c r="DG20" s="114">
        <f t="shared" si="18"/>
        <v>0.90018449970410419</v>
      </c>
      <c r="DH20" s="114">
        <f t="shared" si="18"/>
        <v>8.9830469139813643E-2</v>
      </c>
      <c r="DI20" s="114">
        <f t="shared" si="19"/>
        <v>9.9850311560821074E-3</v>
      </c>
      <c r="DJ20" s="114" t="str">
        <f t="shared" si="19"/>
        <v>-</v>
      </c>
      <c r="DK20" s="113"/>
      <c r="DL20" s="114">
        <f t="shared" si="20"/>
        <v>0.89740286847362616</v>
      </c>
      <c r="DM20" s="114">
        <f t="shared" si="20"/>
        <v>9.233384023615708E-2</v>
      </c>
      <c r="DN20" s="114">
        <f t="shared" si="21"/>
        <v>1.0263291290216777E-2</v>
      </c>
      <c r="DO20" s="114" t="str">
        <f t="shared" si="21"/>
        <v>-</v>
      </c>
      <c r="DP20" s="113"/>
      <c r="DQ20" s="114">
        <f t="shared" si="22"/>
        <v>1</v>
      </c>
      <c r="DR20" s="114" t="str">
        <f t="shared" si="22"/>
        <v>-</v>
      </c>
      <c r="DS20" s="114" t="str">
        <f t="shared" si="23"/>
        <v>-</v>
      </c>
      <c r="DT20" s="114" t="str">
        <f t="shared" si="23"/>
        <v>-</v>
      </c>
      <c r="DU20" s="113"/>
      <c r="DV20" s="114" t="str">
        <f t="shared" si="24"/>
        <v>-</v>
      </c>
      <c r="DW20" s="114" t="str">
        <f t="shared" si="24"/>
        <v>-</v>
      </c>
      <c r="DX20" s="114" t="str">
        <f t="shared" si="25"/>
        <v>-</v>
      </c>
      <c r="DY20" s="114" t="str">
        <f t="shared" si="25"/>
        <v>-</v>
      </c>
      <c r="DZ20" s="113"/>
      <c r="EA20" s="114" t="str">
        <f t="shared" si="26"/>
        <v>-</v>
      </c>
      <c r="EB20" s="114" t="str">
        <f t="shared" si="26"/>
        <v>-</v>
      </c>
      <c r="EC20" s="114" t="str">
        <f t="shared" si="27"/>
        <v>-</v>
      </c>
      <c r="ED20" s="114" t="str">
        <f t="shared" si="27"/>
        <v>-</v>
      </c>
      <c r="EE20" s="113"/>
      <c r="EF20" s="115">
        <f t="shared" si="28"/>
        <v>5.0765355551249759E-2</v>
      </c>
      <c r="EG20" s="115" t="str">
        <f t="shared" si="29"/>
        <v>-</v>
      </c>
      <c r="EH20" s="115" t="str">
        <f t="shared" si="30"/>
        <v>-</v>
      </c>
      <c r="EI20" s="115" t="str">
        <f t="shared" si="31"/>
        <v>-</v>
      </c>
      <c r="EJ20" s="115">
        <f t="shared" si="32"/>
        <v>5.0765355551249759E-2</v>
      </c>
      <c r="EK20" s="113"/>
      <c r="EL20" s="116">
        <f t="shared" si="33"/>
        <v>2.3847274320997204E-4</v>
      </c>
      <c r="EM20" s="116">
        <f t="shared" si="33"/>
        <v>6.3941096686688627E-3</v>
      </c>
      <c r="EN20" s="116">
        <f t="shared" si="34"/>
        <v>8.7739686228936659E-2</v>
      </c>
      <c r="EO20" s="116" t="str">
        <f t="shared" si="34"/>
        <v>-</v>
      </c>
      <c r="EP20" s="116">
        <f t="shared" si="34"/>
        <v>1.6651388389282774E-3</v>
      </c>
      <c r="EQ20" s="109"/>
      <c r="ER20" s="116">
        <f t="shared" si="35"/>
        <v>2.4587821718356475E-4</v>
      </c>
      <c r="ES20" s="117">
        <f t="shared" si="35"/>
        <v>6.3941096686688627E-3</v>
      </c>
      <c r="ET20" s="117">
        <f t="shared" si="36"/>
        <v>8.7739686228936659E-2</v>
      </c>
      <c r="EU20" s="117" t="str">
        <f t="shared" si="36"/>
        <v>-</v>
      </c>
      <c r="EV20" s="117">
        <f t="shared" si="36"/>
        <v>1.7115424754748489E-3</v>
      </c>
      <c r="EW20" s="113"/>
      <c r="EX20" s="116" t="str">
        <f t="shared" si="37"/>
        <v>-</v>
      </c>
      <c r="EY20" s="117" t="str">
        <f t="shared" si="37"/>
        <v>-</v>
      </c>
      <c r="EZ20" s="117" t="str">
        <f t="shared" si="38"/>
        <v>-</v>
      </c>
      <c r="FA20" s="117" t="str">
        <f t="shared" si="38"/>
        <v>-</v>
      </c>
      <c r="FB20" s="117" t="str">
        <f t="shared" si="38"/>
        <v>-</v>
      </c>
      <c r="FC20" s="113"/>
      <c r="FD20" s="116" t="str">
        <f t="shared" si="39"/>
        <v>-</v>
      </c>
      <c r="FE20" s="117" t="str">
        <f t="shared" si="39"/>
        <v>-</v>
      </c>
      <c r="FF20" s="117" t="str">
        <f t="shared" si="40"/>
        <v>-</v>
      </c>
      <c r="FG20" s="117" t="str">
        <f t="shared" si="40"/>
        <v>-</v>
      </c>
      <c r="FH20" s="117" t="str">
        <f t="shared" si="40"/>
        <v>-</v>
      </c>
      <c r="FI20" s="113"/>
      <c r="FJ20" s="116" t="str">
        <f t="shared" si="41"/>
        <v>-</v>
      </c>
      <c r="FK20" s="116" t="str">
        <f t="shared" si="41"/>
        <v>-</v>
      </c>
      <c r="FL20" s="116" t="str">
        <f t="shared" si="42"/>
        <v>-</v>
      </c>
      <c r="FM20" s="116" t="str">
        <f t="shared" si="42"/>
        <v>-</v>
      </c>
      <c r="FN20" s="116" t="str">
        <f t="shared" si="42"/>
        <v>-</v>
      </c>
      <c r="FT20" s="130"/>
      <c r="FV20" s="121" t="str">
        <f t="shared" si="43"/>
        <v>-</v>
      </c>
      <c r="FW20" s="121" t="str">
        <f t="shared" si="44"/>
        <v>-</v>
      </c>
      <c r="FX20" s="121" t="str">
        <f t="shared" si="45"/>
        <v>-</v>
      </c>
      <c r="FY20" s="121" t="str">
        <f t="shared" si="46"/>
        <v>-</v>
      </c>
      <c r="FZ20" s="121" t="str">
        <f t="shared" si="47"/>
        <v>-</v>
      </c>
      <c r="GF20" s="131" t="str">
        <f t="shared" si="48"/>
        <v>-</v>
      </c>
      <c r="GH20" s="121" t="str">
        <f t="shared" si="49"/>
        <v>-</v>
      </c>
      <c r="GI20" s="121" t="str">
        <f t="shared" si="50"/>
        <v>-</v>
      </c>
      <c r="GJ20" s="121" t="str">
        <f t="shared" si="51"/>
        <v>-</v>
      </c>
      <c r="GK20" s="121" t="str">
        <f t="shared" si="52"/>
        <v>-</v>
      </c>
      <c r="GL20" s="121" t="str">
        <f t="shared" si="53"/>
        <v>-</v>
      </c>
      <c r="GN20" s="42">
        <f t="shared" si="54"/>
        <v>13.600000000000001</v>
      </c>
      <c r="GO20" s="42">
        <f t="shared" si="55"/>
        <v>17063.7</v>
      </c>
    </row>
    <row r="21" spans="1:197" s="118" customFormat="1" x14ac:dyDescent="0.25">
      <c r="A21" s="82" t="s">
        <v>239</v>
      </c>
      <c r="B21" s="81"/>
      <c r="C21" s="109">
        <f t="shared" si="0"/>
        <v>14.026000000000002</v>
      </c>
      <c r="D21" s="109">
        <f t="shared" si="0"/>
        <v>0.57399999999999995</v>
      </c>
      <c r="E21" s="109">
        <f t="shared" si="0"/>
        <v>0.44900000000000001</v>
      </c>
      <c r="F21" s="109">
        <f t="shared" si="0"/>
        <v>0.125</v>
      </c>
      <c r="G21" s="109">
        <f t="shared" si="0"/>
        <v>0.11499999999999999</v>
      </c>
      <c r="H21" s="109" t="str">
        <f t="shared" si="0"/>
        <v>-</v>
      </c>
      <c r="I21" s="109">
        <f t="shared" si="0"/>
        <v>14.715000000000003</v>
      </c>
      <c r="J21" s="109"/>
      <c r="K21" s="109">
        <f t="shared" si="1"/>
        <v>14.026000000000002</v>
      </c>
      <c r="L21" s="109">
        <f t="shared" si="1"/>
        <v>0.57399999999999995</v>
      </c>
      <c r="M21" s="109">
        <f t="shared" si="1"/>
        <v>0.44900000000000001</v>
      </c>
      <c r="N21" s="109">
        <f t="shared" si="1"/>
        <v>0.125</v>
      </c>
      <c r="O21" s="109">
        <f t="shared" si="1"/>
        <v>0.11499999999999999</v>
      </c>
      <c r="P21" s="109" t="str">
        <f t="shared" si="1"/>
        <v>-</v>
      </c>
      <c r="Q21" s="109">
        <f t="shared" si="1"/>
        <v>14.715000000000003</v>
      </c>
      <c r="R21" s="109"/>
      <c r="S21" s="110">
        <v>9.8740000000000006</v>
      </c>
      <c r="T21" s="110">
        <v>0.502</v>
      </c>
      <c r="U21" s="112">
        <v>0.44900000000000001</v>
      </c>
      <c r="V21" s="112">
        <f>0.021+0.032</f>
        <v>5.3000000000000005E-2</v>
      </c>
      <c r="W21" s="110">
        <v>5.3999999999999999E-2</v>
      </c>
      <c r="X21" s="110">
        <v>0</v>
      </c>
      <c r="Y21" s="113">
        <f t="shared" si="57"/>
        <v>10.430000000000001</v>
      </c>
      <c r="Z21" s="113"/>
      <c r="AA21" s="110">
        <v>0.223</v>
      </c>
      <c r="AB21" s="110">
        <v>0</v>
      </c>
      <c r="AC21" s="110">
        <v>0</v>
      </c>
      <c r="AD21" s="110">
        <v>0</v>
      </c>
      <c r="AE21" s="110">
        <v>0.01</v>
      </c>
      <c r="AF21" s="110">
        <v>0</v>
      </c>
      <c r="AG21" s="113">
        <f t="shared" si="58"/>
        <v>0.23300000000000001</v>
      </c>
      <c r="AH21" s="113"/>
      <c r="AI21" s="110">
        <f>3.628+0.301</f>
        <v>3.9290000000000003</v>
      </c>
      <c r="AJ21" s="110">
        <v>7.1999999999999995E-2</v>
      </c>
      <c r="AK21" s="112">
        <v>0</v>
      </c>
      <c r="AL21" s="112">
        <v>7.1999999999999995E-2</v>
      </c>
      <c r="AM21" s="110">
        <v>5.0999999999999997E-2</v>
      </c>
      <c r="AN21" s="110">
        <v>0</v>
      </c>
      <c r="AO21" s="113">
        <f t="shared" si="59"/>
        <v>4.0520000000000005</v>
      </c>
      <c r="AP21" s="113"/>
      <c r="AQ21" s="112" t="s">
        <v>230</v>
      </c>
      <c r="AR21" s="112" t="s">
        <v>230</v>
      </c>
      <c r="AS21" s="112" t="s">
        <v>230</v>
      </c>
      <c r="AT21" s="112" t="s">
        <v>230</v>
      </c>
      <c r="AU21" s="112" t="s">
        <v>230</v>
      </c>
      <c r="AV21" s="112" t="s">
        <v>230</v>
      </c>
      <c r="AW21" s="113">
        <f t="shared" si="60"/>
        <v>0</v>
      </c>
      <c r="AX21" s="113"/>
      <c r="AY21" s="112" t="s">
        <v>230</v>
      </c>
      <c r="AZ21" s="112" t="s">
        <v>230</v>
      </c>
      <c r="BA21" s="112" t="s">
        <v>230</v>
      </c>
      <c r="BB21" s="112" t="s">
        <v>230</v>
      </c>
      <c r="BC21" s="112" t="s">
        <v>230</v>
      </c>
      <c r="BD21" s="112" t="s">
        <v>230</v>
      </c>
      <c r="BE21" s="113">
        <f t="shared" si="61"/>
        <v>0</v>
      </c>
      <c r="BF21" s="113"/>
      <c r="BG21" s="109">
        <f t="shared" si="8"/>
        <v>9</v>
      </c>
      <c r="BH21" s="109">
        <f t="shared" si="8"/>
        <v>5</v>
      </c>
      <c r="BI21" s="109">
        <f t="shared" si="9"/>
        <v>20</v>
      </c>
      <c r="BJ21" s="109" t="str">
        <f t="shared" si="9"/>
        <v>-</v>
      </c>
      <c r="BK21" s="109">
        <f t="shared" si="9"/>
        <v>34</v>
      </c>
      <c r="BL21" s="109"/>
      <c r="BM21" s="109">
        <f t="shared" si="10"/>
        <v>9</v>
      </c>
      <c r="BN21" s="109">
        <f t="shared" si="10"/>
        <v>5</v>
      </c>
      <c r="BO21" s="109">
        <f t="shared" si="11"/>
        <v>20</v>
      </c>
      <c r="BP21" s="109" t="str">
        <f t="shared" si="11"/>
        <v>-</v>
      </c>
      <c r="BQ21" s="109">
        <f t="shared" si="11"/>
        <v>34</v>
      </c>
      <c r="BR21" s="109"/>
      <c r="BS21" s="110">
        <v>0</v>
      </c>
      <c r="BT21" s="110">
        <v>3</v>
      </c>
      <c r="BU21" s="112" t="s">
        <v>230</v>
      </c>
      <c r="BV21" s="112" t="s">
        <v>230</v>
      </c>
      <c r="BW21" s="110">
        <v>5</v>
      </c>
      <c r="BX21" s="110">
        <v>0</v>
      </c>
      <c r="BY21" s="113">
        <f t="shared" si="65"/>
        <v>8</v>
      </c>
      <c r="BZ21" s="109"/>
      <c r="CA21" s="110">
        <v>3</v>
      </c>
      <c r="CB21" s="110">
        <v>1</v>
      </c>
      <c r="CC21" s="112" t="s">
        <v>230</v>
      </c>
      <c r="CD21" s="112" t="s">
        <v>230</v>
      </c>
      <c r="CE21" s="110">
        <v>9</v>
      </c>
      <c r="CF21" s="110">
        <v>0</v>
      </c>
      <c r="CG21" s="113">
        <f t="shared" si="62"/>
        <v>13</v>
      </c>
      <c r="CH21" s="113"/>
      <c r="CI21" s="110">
        <f>4+2</f>
        <v>6</v>
      </c>
      <c r="CJ21" s="110">
        <v>1</v>
      </c>
      <c r="CK21" s="112" t="s">
        <v>230</v>
      </c>
      <c r="CL21" s="112" t="s">
        <v>230</v>
      </c>
      <c r="CM21" s="110">
        <v>6</v>
      </c>
      <c r="CN21" s="110">
        <v>0</v>
      </c>
      <c r="CO21" s="113">
        <f t="shared" si="63"/>
        <v>13</v>
      </c>
      <c r="CP21" s="113"/>
      <c r="CQ21" s="112" t="s">
        <v>230</v>
      </c>
      <c r="CR21" s="112" t="s">
        <v>230</v>
      </c>
      <c r="CS21" s="112" t="s">
        <v>230</v>
      </c>
      <c r="CT21" s="112" t="s">
        <v>230</v>
      </c>
      <c r="CU21" s="112" t="s">
        <v>230</v>
      </c>
      <c r="CV21" s="112" t="s">
        <v>230</v>
      </c>
      <c r="CW21" s="113">
        <f t="shared" si="64"/>
        <v>0</v>
      </c>
      <c r="CX21" s="113"/>
      <c r="CY21" s="112" t="s">
        <v>230</v>
      </c>
      <c r="CZ21" s="112" t="s">
        <v>230</v>
      </c>
      <c r="DA21" s="112" t="s">
        <v>230</v>
      </c>
      <c r="DB21" s="112" t="s">
        <v>230</v>
      </c>
      <c r="DC21" s="112" t="s">
        <v>230</v>
      </c>
      <c r="DD21" s="112" t="s">
        <v>230</v>
      </c>
      <c r="DE21" s="113">
        <f t="shared" si="17"/>
        <v>0</v>
      </c>
      <c r="DF21" s="113"/>
      <c r="DG21" s="114">
        <f t="shared" si="18"/>
        <v>0.95317703024125033</v>
      </c>
      <c r="DH21" s="114">
        <f t="shared" si="18"/>
        <v>3.9007815154604136E-2</v>
      </c>
      <c r="DI21" s="114">
        <f t="shared" si="19"/>
        <v>7.8151546041454276E-3</v>
      </c>
      <c r="DJ21" s="114" t="str">
        <f t="shared" si="19"/>
        <v>-</v>
      </c>
      <c r="DK21" s="113"/>
      <c r="DL21" s="114">
        <f t="shared" si="20"/>
        <v>0.94669223394055602</v>
      </c>
      <c r="DM21" s="114">
        <f t="shared" si="20"/>
        <v>4.8130393096836047E-2</v>
      </c>
      <c r="DN21" s="114">
        <f t="shared" si="21"/>
        <v>5.177372962607861E-3</v>
      </c>
      <c r="DO21" s="114" t="str">
        <f t="shared" si="21"/>
        <v>-</v>
      </c>
      <c r="DP21" s="113"/>
      <c r="DQ21" s="114">
        <f t="shared" si="22"/>
        <v>0.95708154506437759</v>
      </c>
      <c r="DR21" s="114" t="str">
        <f t="shared" si="22"/>
        <v>-</v>
      </c>
      <c r="DS21" s="114">
        <f t="shared" si="23"/>
        <v>4.2918454935622317E-2</v>
      </c>
      <c r="DT21" s="114" t="str">
        <f t="shared" si="23"/>
        <v>-</v>
      </c>
      <c r="DU21" s="113"/>
      <c r="DV21" s="114">
        <f t="shared" si="24"/>
        <v>0.96964461994076989</v>
      </c>
      <c r="DW21" s="114">
        <f t="shared" si="24"/>
        <v>1.7769002961500489E-2</v>
      </c>
      <c r="DX21" s="114">
        <f t="shared" si="25"/>
        <v>1.2586377097729515E-2</v>
      </c>
      <c r="DY21" s="114" t="str">
        <f t="shared" si="25"/>
        <v>-</v>
      </c>
      <c r="DZ21" s="113"/>
      <c r="EA21" s="114" t="str">
        <f t="shared" si="26"/>
        <v>-</v>
      </c>
      <c r="EB21" s="114" t="str">
        <f t="shared" si="26"/>
        <v>-</v>
      </c>
      <c r="EC21" s="114" t="str">
        <f t="shared" si="27"/>
        <v>-</v>
      </c>
      <c r="ED21" s="114" t="str">
        <f t="shared" si="27"/>
        <v>-</v>
      </c>
      <c r="EE21" s="113"/>
      <c r="EF21" s="115">
        <f t="shared" si="28"/>
        <v>0.10557768924302791</v>
      </c>
      <c r="EG21" s="115" t="str">
        <f t="shared" si="29"/>
        <v>-</v>
      </c>
      <c r="EH21" s="115">
        <f t="shared" si="30"/>
        <v>1</v>
      </c>
      <c r="EI21" s="115" t="str">
        <f t="shared" si="31"/>
        <v>-</v>
      </c>
      <c r="EJ21" s="115">
        <f t="shared" si="32"/>
        <v>0.21777003484320559</v>
      </c>
      <c r="EK21" s="113"/>
      <c r="EL21" s="116">
        <f t="shared" si="33"/>
        <v>6.4166547839726216E-4</v>
      </c>
      <c r="EM21" s="116">
        <f t="shared" si="33"/>
        <v>8.7108013937282226E-3</v>
      </c>
      <c r="EN21" s="116">
        <f t="shared" si="34"/>
        <v>0.17391304347826086</v>
      </c>
      <c r="EO21" s="116" t="str">
        <f t="shared" si="34"/>
        <v>-</v>
      </c>
      <c r="EP21" s="116">
        <f t="shared" si="34"/>
        <v>2.3105674481821263E-3</v>
      </c>
      <c r="EQ21" s="109"/>
      <c r="ER21" s="116" t="str">
        <f t="shared" si="35"/>
        <v>-</v>
      </c>
      <c r="ES21" s="117">
        <f t="shared" si="35"/>
        <v>5.9760956175298804E-3</v>
      </c>
      <c r="ET21" s="117">
        <f t="shared" si="36"/>
        <v>9.2592592592592601E-2</v>
      </c>
      <c r="EU21" s="117" t="str">
        <f t="shared" si="36"/>
        <v>-</v>
      </c>
      <c r="EV21" s="117">
        <f t="shared" si="36"/>
        <v>7.6701821668264617E-4</v>
      </c>
      <c r="EW21" s="113"/>
      <c r="EX21" s="116">
        <f t="shared" si="37"/>
        <v>1.3452914798206277E-2</v>
      </c>
      <c r="EY21" s="117" t="str">
        <f t="shared" si="37"/>
        <v>-</v>
      </c>
      <c r="EZ21" s="117">
        <f t="shared" si="38"/>
        <v>0.9</v>
      </c>
      <c r="FA21" s="117" t="str">
        <f t="shared" si="38"/>
        <v>-</v>
      </c>
      <c r="FB21" s="117">
        <f t="shared" si="38"/>
        <v>5.5793991416309009E-2</v>
      </c>
      <c r="FC21" s="113"/>
      <c r="FD21" s="116">
        <f t="shared" si="39"/>
        <v>1.5271061338763044E-3</v>
      </c>
      <c r="FE21" s="117">
        <f t="shared" si="39"/>
        <v>1.388888888888889E-2</v>
      </c>
      <c r="FF21" s="117">
        <f t="shared" si="40"/>
        <v>0.11764705882352942</v>
      </c>
      <c r="FG21" s="117" t="str">
        <f t="shared" si="40"/>
        <v>-</v>
      </c>
      <c r="FH21" s="117">
        <f t="shared" si="40"/>
        <v>3.2082922013820332E-3</v>
      </c>
      <c r="FI21" s="113"/>
      <c r="FJ21" s="116" t="str">
        <f t="shared" si="41"/>
        <v>-</v>
      </c>
      <c r="FK21" s="116" t="str">
        <f t="shared" si="41"/>
        <v>-</v>
      </c>
      <c r="FL21" s="116" t="str">
        <f t="shared" si="42"/>
        <v>-</v>
      </c>
      <c r="FM21" s="116" t="str">
        <f t="shared" si="42"/>
        <v>-</v>
      </c>
      <c r="FN21" s="116" t="str">
        <f t="shared" si="42"/>
        <v>-</v>
      </c>
      <c r="FT21" s="130"/>
      <c r="FV21" s="121" t="str">
        <f t="shared" si="43"/>
        <v>-</v>
      </c>
      <c r="FW21" s="121" t="str">
        <f t="shared" si="44"/>
        <v>-</v>
      </c>
      <c r="FX21" s="121" t="str">
        <f t="shared" si="45"/>
        <v>-</v>
      </c>
      <c r="FY21" s="121" t="str">
        <f t="shared" si="46"/>
        <v>-</v>
      </c>
      <c r="FZ21" s="121" t="str">
        <f t="shared" si="47"/>
        <v>-</v>
      </c>
      <c r="GF21" s="131" t="str">
        <f t="shared" si="48"/>
        <v>-</v>
      </c>
      <c r="GH21" s="121" t="str">
        <f t="shared" si="49"/>
        <v>-</v>
      </c>
      <c r="GI21" s="121" t="str">
        <f t="shared" si="50"/>
        <v>-</v>
      </c>
      <c r="GJ21" s="121" t="str">
        <f t="shared" si="51"/>
        <v>-</v>
      </c>
      <c r="GK21" s="121" t="str">
        <f t="shared" si="52"/>
        <v>-</v>
      </c>
      <c r="GL21" s="121" t="str">
        <f t="shared" si="53"/>
        <v>-</v>
      </c>
      <c r="GN21" s="42">
        <f t="shared" si="54"/>
        <v>14</v>
      </c>
      <c r="GO21" s="42">
        <f t="shared" si="55"/>
        <v>14600.000000000002</v>
      </c>
    </row>
    <row r="22" spans="1:197" s="118" customFormat="1" x14ac:dyDescent="0.25">
      <c r="A22" s="82" t="s">
        <v>246</v>
      </c>
      <c r="B22" s="81"/>
      <c r="C22" s="109">
        <f t="shared" si="0"/>
        <v>67.923000000000002</v>
      </c>
      <c r="D22" s="109">
        <f t="shared" si="0"/>
        <v>4.5140000000000002</v>
      </c>
      <c r="E22" s="109">
        <f t="shared" si="0"/>
        <v>4.3089999999999993</v>
      </c>
      <c r="F22" s="109">
        <f t="shared" si="0"/>
        <v>0.20500000000000002</v>
      </c>
      <c r="G22" s="109">
        <f t="shared" si="0"/>
        <v>0.69599999999999995</v>
      </c>
      <c r="H22" s="109">
        <f t="shared" si="0"/>
        <v>0.11099999999999999</v>
      </c>
      <c r="I22" s="109">
        <f t="shared" si="0"/>
        <v>73.244</v>
      </c>
      <c r="J22" s="109"/>
      <c r="K22" s="109">
        <f t="shared" si="1"/>
        <v>67.923000000000002</v>
      </c>
      <c r="L22" s="109">
        <f t="shared" si="1"/>
        <v>4.5140000000000002</v>
      </c>
      <c r="M22" s="109">
        <f t="shared" si="1"/>
        <v>4.3089999999999993</v>
      </c>
      <c r="N22" s="109">
        <f t="shared" si="1"/>
        <v>0.20500000000000002</v>
      </c>
      <c r="O22" s="109">
        <f t="shared" si="1"/>
        <v>0.69599999999999995</v>
      </c>
      <c r="P22" s="109">
        <f t="shared" si="1"/>
        <v>0.11099999999999999</v>
      </c>
      <c r="Q22" s="109">
        <f t="shared" si="1"/>
        <v>73.244</v>
      </c>
      <c r="R22" s="109"/>
      <c r="S22" s="110">
        <v>58.12</v>
      </c>
      <c r="T22" s="110">
        <v>1.8049999999999999</v>
      </c>
      <c r="U22" s="110">
        <v>1.637</v>
      </c>
      <c r="V22" s="110">
        <v>0.16800000000000001</v>
      </c>
      <c r="W22" s="110">
        <v>0.36299999999999999</v>
      </c>
      <c r="X22" s="110">
        <v>0.10299999999999999</v>
      </c>
      <c r="Y22" s="113">
        <f t="shared" si="57"/>
        <v>60.390999999999998</v>
      </c>
      <c r="Z22" s="113"/>
      <c r="AA22" s="110">
        <v>4.7869999999999999</v>
      </c>
      <c r="AB22" s="110">
        <v>0.42399999999999999</v>
      </c>
      <c r="AC22" s="110">
        <v>0.39200000000000002</v>
      </c>
      <c r="AD22" s="110">
        <v>3.2000000000000001E-2</v>
      </c>
      <c r="AE22" s="110">
        <v>6.0999999999999999E-2</v>
      </c>
      <c r="AF22" s="110">
        <v>8.0000000000000002E-3</v>
      </c>
      <c r="AG22" s="113">
        <f t="shared" si="58"/>
        <v>5.28</v>
      </c>
      <c r="AH22" s="113"/>
      <c r="AI22" s="110">
        <v>5.016</v>
      </c>
      <c r="AJ22" s="110">
        <v>2.2850000000000001</v>
      </c>
      <c r="AK22" s="110">
        <v>2.2799999999999998</v>
      </c>
      <c r="AL22" s="110">
        <v>5.0000000000000001E-3</v>
      </c>
      <c r="AM22" s="110">
        <v>0.27200000000000002</v>
      </c>
      <c r="AN22" s="110">
        <v>0</v>
      </c>
      <c r="AO22" s="113">
        <f t="shared" si="59"/>
        <v>7.5730000000000004</v>
      </c>
      <c r="AP22" s="113"/>
      <c r="AQ22" s="112" t="s">
        <v>230</v>
      </c>
      <c r="AR22" s="112" t="s">
        <v>230</v>
      </c>
      <c r="AS22" s="112" t="s">
        <v>230</v>
      </c>
      <c r="AT22" s="112" t="s">
        <v>230</v>
      </c>
      <c r="AU22" s="112" t="s">
        <v>230</v>
      </c>
      <c r="AV22" s="112" t="s">
        <v>230</v>
      </c>
      <c r="AW22" s="113">
        <f t="shared" si="60"/>
        <v>0</v>
      </c>
      <c r="AX22" s="113"/>
      <c r="AY22" s="112" t="s">
        <v>230</v>
      </c>
      <c r="AZ22" s="112" t="s">
        <v>230</v>
      </c>
      <c r="BA22" s="112" t="s">
        <v>230</v>
      </c>
      <c r="BB22" s="112" t="s">
        <v>230</v>
      </c>
      <c r="BC22" s="112" t="s">
        <v>230</v>
      </c>
      <c r="BD22" s="112" t="s">
        <v>230</v>
      </c>
      <c r="BE22" s="113">
        <f t="shared" si="61"/>
        <v>0</v>
      </c>
      <c r="BF22" s="113"/>
      <c r="BG22" s="109">
        <f t="shared" si="8"/>
        <v>79</v>
      </c>
      <c r="BH22" s="109">
        <f t="shared" si="8"/>
        <v>168</v>
      </c>
      <c r="BI22" s="109">
        <f t="shared" si="9"/>
        <v>118</v>
      </c>
      <c r="BJ22" s="109" t="str">
        <f t="shared" si="9"/>
        <v>-</v>
      </c>
      <c r="BK22" s="109">
        <f t="shared" si="9"/>
        <v>362</v>
      </c>
      <c r="BL22" s="109"/>
      <c r="BM22" s="109">
        <f t="shared" si="10"/>
        <v>79</v>
      </c>
      <c r="BN22" s="109">
        <f t="shared" si="10"/>
        <v>168</v>
      </c>
      <c r="BO22" s="109">
        <f t="shared" si="11"/>
        <v>118</v>
      </c>
      <c r="BP22" s="109" t="str">
        <f t="shared" si="11"/>
        <v>-</v>
      </c>
      <c r="BQ22" s="109">
        <f t="shared" si="11"/>
        <v>362</v>
      </c>
      <c r="BR22" s="109"/>
      <c r="BS22" s="110">
        <v>6</v>
      </c>
      <c r="BT22" s="110">
        <v>9</v>
      </c>
      <c r="BU22" s="112">
        <v>5</v>
      </c>
      <c r="BV22" s="112">
        <v>4</v>
      </c>
      <c r="BW22" s="110">
        <v>26</v>
      </c>
      <c r="BX22" s="110">
        <v>-1</v>
      </c>
      <c r="BY22" s="113">
        <f t="shared" si="65"/>
        <v>40</v>
      </c>
      <c r="BZ22" s="109"/>
      <c r="CA22" s="110">
        <v>53</v>
      </c>
      <c r="CB22" s="110">
        <v>87</v>
      </c>
      <c r="CC22" s="112">
        <v>71</v>
      </c>
      <c r="CD22" s="112">
        <v>16</v>
      </c>
      <c r="CE22" s="110">
        <v>37</v>
      </c>
      <c r="CF22" s="110">
        <v>-2</v>
      </c>
      <c r="CG22" s="113">
        <f t="shared" si="62"/>
        <v>175</v>
      </c>
      <c r="CH22" s="113"/>
      <c r="CI22" s="110">
        <v>20</v>
      </c>
      <c r="CJ22" s="110">
        <v>72</v>
      </c>
      <c r="CK22" s="112">
        <v>72</v>
      </c>
      <c r="CL22" s="112">
        <v>0</v>
      </c>
      <c r="CM22" s="110">
        <v>55</v>
      </c>
      <c r="CN22" s="110">
        <v>0</v>
      </c>
      <c r="CO22" s="113">
        <f t="shared" si="63"/>
        <v>147</v>
      </c>
      <c r="CP22" s="113"/>
      <c r="CQ22" s="112" t="s">
        <v>230</v>
      </c>
      <c r="CR22" s="112" t="s">
        <v>230</v>
      </c>
      <c r="CS22" s="112" t="s">
        <v>230</v>
      </c>
      <c r="CT22" s="112" t="s">
        <v>230</v>
      </c>
      <c r="CU22" s="112" t="s">
        <v>230</v>
      </c>
      <c r="CV22" s="112" t="s">
        <v>230</v>
      </c>
      <c r="CW22" s="113">
        <f t="shared" si="64"/>
        <v>0</v>
      </c>
      <c r="CX22" s="113"/>
      <c r="CY22" s="112" t="s">
        <v>230</v>
      </c>
      <c r="CZ22" s="112" t="s">
        <v>230</v>
      </c>
      <c r="DA22" s="112" t="s">
        <v>230</v>
      </c>
      <c r="DB22" s="112" t="s">
        <v>230</v>
      </c>
      <c r="DC22" s="112" t="s">
        <v>230</v>
      </c>
      <c r="DD22" s="112" t="s">
        <v>230</v>
      </c>
      <c r="DE22" s="113">
        <f t="shared" si="17"/>
        <v>0</v>
      </c>
      <c r="DF22" s="113"/>
      <c r="DG22" s="114">
        <f t="shared" si="18"/>
        <v>0.92735241111899958</v>
      </c>
      <c r="DH22" s="114">
        <f t="shared" si="18"/>
        <v>6.1629621538965652E-2</v>
      </c>
      <c r="DI22" s="114">
        <f t="shared" si="19"/>
        <v>9.5024848451750309E-3</v>
      </c>
      <c r="DJ22" s="114">
        <f t="shared" si="19"/>
        <v>1.515482496859811E-3</v>
      </c>
      <c r="DK22" s="113"/>
      <c r="DL22" s="114">
        <f t="shared" si="20"/>
        <v>0.96239505886638732</v>
      </c>
      <c r="DM22" s="114">
        <f t="shared" si="20"/>
        <v>2.9888559553575864E-2</v>
      </c>
      <c r="DN22" s="114">
        <f t="shared" si="21"/>
        <v>6.0108294282260602E-3</v>
      </c>
      <c r="DO22" s="114">
        <f t="shared" si="21"/>
        <v>1.7055521518107002E-3</v>
      </c>
      <c r="DP22" s="113"/>
      <c r="DQ22" s="114">
        <f t="shared" si="22"/>
        <v>0.90662878787878787</v>
      </c>
      <c r="DR22" s="114">
        <f t="shared" si="22"/>
        <v>8.0303030303030293E-2</v>
      </c>
      <c r="DS22" s="114">
        <f t="shared" si="23"/>
        <v>1.1553030303030303E-2</v>
      </c>
      <c r="DT22" s="114">
        <f t="shared" si="23"/>
        <v>1.5151515151515152E-3</v>
      </c>
      <c r="DU22" s="113"/>
      <c r="DV22" s="114">
        <f t="shared" si="24"/>
        <v>0.66235309652713581</v>
      </c>
      <c r="DW22" s="114">
        <f t="shared" si="24"/>
        <v>0.3017298296579955</v>
      </c>
      <c r="DX22" s="114">
        <f t="shared" si="25"/>
        <v>3.5917073814868611E-2</v>
      </c>
      <c r="DY22" s="114" t="str">
        <f t="shared" si="25"/>
        <v>-</v>
      </c>
      <c r="DZ22" s="113"/>
      <c r="EA22" s="114" t="str">
        <f t="shared" si="26"/>
        <v>-</v>
      </c>
      <c r="EB22" s="114" t="str">
        <f t="shared" si="26"/>
        <v>-</v>
      </c>
      <c r="EC22" s="114" t="str">
        <f t="shared" si="27"/>
        <v>-</v>
      </c>
      <c r="ED22" s="114" t="str">
        <f t="shared" si="27"/>
        <v>-</v>
      </c>
      <c r="EE22" s="113"/>
      <c r="EF22" s="115">
        <f t="shared" si="28"/>
        <v>9.3074792243767315E-2</v>
      </c>
      <c r="EG22" s="115">
        <f t="shared" si="29"/>
        <v>7.5471698113207544E-2</v>
      </c>
      <c r="EH22" s="115">
        <f t="shared" si="30"/>
        <v>2.1881838074398249E-3</v>
      </c>
      <c r="EI22" s="115" t="str">
        <f t="shared" si="31"/>
        <v>-</v>
      </c>
      <c r="EJ22" s="115">
        <f t="shared" si="32"/>
        <v>4.5414266725742135E-2</v>
      </c>
      <c r="EK22" s="113"/>
      <c r="EL22" s="116">
        <f t="shared" si="33"/>
        <v>1.1630817248943657E-3</v>
      </c>
      <c r="EM22" s="116">
        <f t="shared" si="33"/>
        <v>3.7217545414266723E-2</v>
      </c>
      <c r="EN22" s="116">
        <f t="shared" si="34"/>
        <v>0.16954022988505746</v>
      </c>
      <c r="EO22" s="116" t="str">
        <f t="shared" si="34"/>
        <v>-</v>
      </c>
      <c r="EP22" s="116">
        <f t="shared" si="34"/>
        <v>4.9423843591283921E-3</v>
      </c>
      <c r="EQ22" s="109"/>
      <c r="ER22" s="116">
        <f t="shared" si="35"/>
        <v>1.0323468685478321E-4</v>
      </c>
      <c r="ES22" s="117">
        <f t="shared" si="35"/>
        <v>4.9861495844875352E-3</v>
      </c>
      <c r="ET22" s="117">
        <f t="shared" si="36"/>
        <v>7.1625344352617082E-2</v>
      </c>
      <c r="EU22" s="117" t="str">
        <f t="shared" si="36"/>
        <v>-</v>
      </c>
      <c r="EV22" s="117">
        <f t="shared" si="36"/>
        <v>6.6235035021774773E-4</v>
      </c>
      <c r="EW22" s="113"/>
      <c r="EX22" s="116">
        <f t="shared" si="37"/>
        <v>1.1071652391894714E-2</v>
      </c>
      <c r="EY22" s="117">
        <f t="shared" si="37"/>
        <v>0.20518867924528303</v>
      </c>
      <c r="EZ22" s="117">
        <f t="shared" si="38"/>
        <v>0.60655737704918034</v>
      </c>
      <c r="FA22" s="117" t="str">
        <f t="shared" si="38"/>
        <v>-</v>
      </c>
      <c r="FB22" s="117">
        <f t="shared" si="38"/>
        <v>3.3143939393939392E-2</v>
      </c>
      <c r="FC22" s="113"/>
      <c r="FD22" s="116">
        <f t="shared" si="39"/>
        <v>3.9872408293460922E-3</v>
      </c>
      <c r="FE22" s="117">
        <f t="shared" si="39"/>
        <v>3.1509846827133474E-2</v>
      </c>
      <c r="FF22" s="117">
        <f t="shared" si="40"/>
        <v>0.20220588235294115</v>
      </c>
      <c r="FG22" s="117" t="str">
        <f t="shared" si="40"/>
        <v>-</v>
      </c>
      <c r="FH22" s="117">
        <f t="shared" si="40"/>
        <v>1.9411065627888552E-2</v>
      </c>
      <c r="FI22" s="113"/>
      <c r="FJ22" s="116" t="str">
        <f t="shared" si="41"/>
        <v>-</v>
      </c>
      <c r="FK22" s="116" t="str">
        <f t="shared" si="41"/>
        <v>-</v>
      </c>
      <c r="FL22" s="116" t="str">
        <f t="shared" si="42"/>
        <v>-</v>
      </c>
      <c r="FM22" s="116" t="str">
        <f t="shared" si="42"/>
        <v>-</v>
      </c>
      <c r="FN22" s="116" t="str">
        <f t="shared" si="42"/>
        <v>-</v>
      </c>
      <c r="FT22" s="130"/>
      <c r="FV22" s="121" t="str">
        <f t="shared" si="43"/>
        <v>-</v>
      </c>
      <c r="FW22" s="121" t="str">
        <f t="shared" si="44"/>
        <v>-</v>
      </c>
      <c r="FX22" s="121" t="str">
        <f t="shared" si="45"/>
        <v>-</v>
      </c>
      <c r="FY22" s="121" t="str">
        <f t="shared" si="46"/>
        <v>-</v>
      </c>
      <c r="FZ22" s="121" t="str">
        <f t="shared" si="47"/>
        <v>-</v>
      </c>
      <c r="GH22" s="121" t="str">
        <f t="shared" si="49"/>
        <v>-</v>
      </c>
      <c r="GI22" s="121" t="str">
        <f t="shared" si="50"/>
        <v>-</v>
      </c>
      <c r="GJ22" s="121" t="str">
        <f t="shared" si="51"/>
        <v>-</v>
      </c>
      <c r="GK22" s="121" t="str">
        <f t="shared" si="52"/>
        <v>-</v>
      </c>
      <c r="GL22" s="121" t="str">
        <f t="shared" si="53"/>
        <v>-</v>
      </c>
      <c r="GN22" s="42">
        <f t="shared" si="54"/>
        <v>247</v>
      </c>
      <c r="GO22" s="42">
        <f t="shared" si="55"/>
        <v>72437</v>
      </c>
    </row>
    <row r="23" spans="1:197" s="118" customFormat="1" x14ac:dyDescent="0.25">
      <c r="A23" s="82" t="s">
        <v>245</v>
      </c>
      <c r="B23" s="81"/>
      <c r="C23" s="109">
        <f t="shared" ref="C23:I23" si="66">IF(SUM(S23,AA23,AI23,AY23)&lt;=0,"-",SUM(S23,AA23,AI23,AQ23,AY23))</f>
        <v>11.3826</v>
      </c>
      <c r="D23" s="109">
        <f t="shared" si="66"/>
        <v>0.45849999999999996</v>
      </c>
      <c r="E23" s="109">
        <f t="shared" si="66"/>
        <v>0.4012</v>
      </c>
      <c r="F23" s="109">
        <f t="shared" si="66"/>
        <v>5.7300000000000004E-2</v>
      </c>
      <c r="G23" s="109">
        <f t="shared" si="66"/>
        <v>0.16790000000000002</v>
      </c>
      <c r="H23" s="109">
        <f t="shared" si="66"/>
        <v>0.219</v>
      </c>
      <c r="I23" s="109">
        <f t="shared" si="66"/>
        <v>12.228</v>
      </c>
      <c r="J23" s="109"/>
      <c r="K23" s="109">
        <f t="shared" si="1"/>
        <v>11.3826</v>
      </c>
      <c r="L23" s="109">
        <f t="shared" si="1"/>
        <v>0.45849999999999996</v>
      </c>
      <c r="M23" s="109">
        <f t="shared" si="1"/>
        <v>0.4012</v>
      </c>
      <c r="N23" s="109">
        <f t="shared" si="1"/>
        <v>5.7300000000000004E-2</v>
      </c>
      <c r="O23" s="109">
        <f t="shared" si="1"/>
        <v>0.16790000000000002</v>
      </c>
      <c r="P23" s="109">
        <f t="shared" si="1"/>
        <v>0.219</v>
      </c>
      <c r="Q23" s="109">
        <f t="shared" si="1"/>
        <v>12.228</v>
      </c>
      <c r="R23" s="109"/>
      <c r="S23" s="134">
        <v>9.8476999999999997</v>
      </c>
      <c r="T23" s="134">
        <v>0.37819999999999998</v>
      </c>
      <c r="U23" s="112">
        <v>0.33629999999999999</v>
      </c>
      <c r="V23" s="112">
        <v>4.19E-2</v>
      </c>
      <c r="W23" s="134">
        <v>0.1293</v>
      </c>
      <c r="X23" s="134">
        <v>1.5699999999999999E-2</v>
      </c>
      <c r="Y23" s="113">
        <f t="shared" si="57"/>
        <v>10.370900000000001</v>
      </c>
      <c r="Z23" s="113"/>
      <c r="AA23" s="134">
        <v>0.15820000000000001</v>
      </c>
      <c r="AB23" s="134">
        <v>1.5699999999999999E-2</v>
      </c>
      <c r="AC23" s="134">
        <v>7.7000000000000002E-3</v>
      </c>
      <c r="AD23" s="134">
        <v>8.0000000000000002E-3</v>
      </c>
      <c r="AE23" s="134">
        <v>3.04E-2</v>
      </c>
      <c r="AF23" s="134">
        <v>0.19</v>
      </c>
      <c r="AG23" s="113">
        <f t="shared" si="58"/>
        <v>0.39429999999999998</v>
      </c>
      <c r="AH23" s="135"/>
      <c r="AI23" s="134">
        <v>1.3767</v>
      </c>
      <c r="AJ23" s="134">
        <v>6.4600000000000005E-2</v>
      </c>
      <c r="AK23" s="134">
        <v>5.7200000000000001E-2</v>
      </c>
      <c r="AL23" s="134">
        <v>7.4000000000000003E-3</v>
      </c>
      <c r="AM23" s="134">
        <v>8.2000000000000007E-3</v>
      </c>
      <c r="AN23" s="134">
        <v>1.3299999999999999E-2</v>
      </c>
      <c r="AO23" s="113">
        <f t="shared" si="59"/>
        <v>1.4628000000000001</v>
      </c>
      <c r="AP23" s="135"/>
      <c r="AQ23" s="112" t="s">
        <v>230</v>
      </c>
      <c r="AR23" s="112" t="s">
        <v>230</v>
      </c>
      <c r="AS23" s="112" t="s">
        <v>230</v>
      </c>
      <c r="AT23" s="112" t="s">
        <v>230</v>
      </c>
      <c r="AU23" s="112" t="s">
        <v>230</v>
      </c>
      <c r="AV23" s="112" t="s">
        <v>230</v>
      </c>
      <c r="AW23" s="113">
        <f t="shared" si="60"/>
        <v>0</v>
      </c>
      <c r="AX23" s="135"/>
      <c r="AY23" s="112" t="s">
        <v>230</v>
      </c>
      <c r="AZ23" s="112" t="s">
        <v>230</v>
      </c>
      <c r="BA23" s="112" t="s">
        <v>230</v>
      </c>
      <c r="BB23" s="112" t="s">
        <v>230</v>
      </c>
      <c r="BC23" s="112" t="s">
        <v>230</v>
      </c>
      <c r="BD23" s="112" t="s">
        <v>230</v>
      </c>
      <c r="BE23" s="113">
        <f t="shared" si="61"/>
        <v>0</v>
      </c>
      <c r="BF23" s="135"/>
      <c r="BG23" s="109">
        <f t="shared" si="8"/>
        <v>6</v>
      </c>
      <c r="BH23" s="109">
        <f t="shared" si="8"/>
        <v>3.7</v>
      </c>
      <c r="BI23" s="109">
        <f t="shared" si="9"/>
        <v>32.200000000000003</v>
      </c>
      <c r="BJ23" s="109" t="str">
        <f t="shared" si="9"/>
        <v>-</v>
      </c>
      <c r="BK23" s="109">
        <f t="shared" si="9"/>
        <v>41.899999999999991</v>
      </c>
      <c r="BL23" s="109"/>
      <c r="BM23" s="109">
        <f t="shared" si="10"/>
        <v>6</v>
      </c>
      <c r="BN23" s="109">
        <f t="shared" si="10"/>
        <v>3.7</v>
      </c>
      <c r="BO23" s="109">
        <f t="shared" si="11"/>
        <v>32.200000000000003</v>
      </c>
      <c r="BP23" s="109" t="str">
        <f t="shared" si="11"/>
        <v>-</v>
      </c>
      <c r="BQ23" s="109">
        <f t="shared" si="11"/>
        <v>41.899999999999991</v>
      </c>
      <c r="BR23" s="109"/>
      <c r="BS23" s="134">
        <v>0.4</v>
      </c>
      <c r="BT23" s="134">
        <v>2</v>
      </c>
      <c r="BU23" s="136">
        <v>1.3</v>
      </c>
      <c r="BV23" s="136">
        <v>0.7</v>
      </c>
      <c r="BW23" s="134">
        <v>24.4</v>
      </c>
      <c r="BX23" s="134">
        <v>0</v>
      </c>
      <c r="BY23" s="113">
        <f t="shared" si="65"/>
        <v>26.799999999999997</v>
      </c>
      <c r="BZ23" s="109"/>
      <c r="CA23" s="134">
        <v>0.2</v>
      </c>
      <c r="CB23" s="134">
        <v>0.4</v>
      </c>
      <c r="CC23" s="136">
        <v>0.2</v>
      </c>
      <c r="CD23" s="136">
        <v>0.2</v>
      </c>
      <c r="CE23" s="134">
        <v>3.8</v>
      </c>
      <c r="CF23" s="134">
        <v>0</v>
      </c>
      <c r="CG23" s="113">
        <f t="shared" si="62"/>
        <v>4.4000000000000004</v>
      </c>
      <c r="CH23" s="135"/>
      <c r="CI23" s="134">
        <v>5.4</v>
      </c>
      <c r="CJ23" s="134">
        <v>1.3</v>
      </c>
      <c r="CK23" s="136">
        <v>1</v>
      </c>
      <c r="CL23" s="136">
        <v>0.3</v>
      </c>
      <c r="CM23" s="134">
        <v>4</v>
      </c>
      <c r="CN23" s="134">
        <v>0</v>
      </c>
      <c r="CO23" s="113">
        <f t="shared" si="63"/>
        <v>10.7</v>
      </c>
      <c r="CP23" s="135"/>
      <c r="CQ23" s="112" t="s">
        <v>230</v>
      </c>
      <c r="CR23" s="112" t="s">
        <v>230</v>
      </c>
      <c r="CS23" s="112" t="s">
        <v>230</v>
      </c>
      <c r="CT23" s="112" t="s">
        <v>230</v>
      </c>
      <c r="CU23" s="112" t="s">
        <v>230</v>
      </c>
      <c r="CV23" s="112" t="s">
        <v>230</v>
      </c>
      <c r="CW23" s="113">
        <f t="shared" si="64"/>
        <v>0</v>
      </c>
      <c r="CX23" s="135"/>
      <c r="CY23" s="112" t="s">
        <v>230</v>
      </c>
      <c r="CZ23" s="112" t="s">
        <v>230</v>
      </c>
      <c r="DA23" s="112" t="s">
        <v>230</v>
      </c>
      <c r="DB23" s="112" t="s">
        <v>230</v>
      </c>
      <c r="DC23" s="112" t="s">
        <v>230</v>
      </c>
      <c r="DD23" s="112" t="s">
        <v>230</v>
      </c>
      <c r="DE23" s="113">
        <f t="shared" si="17"/>
        <v>0</v>
      </c>
      <c r="DF23" s="135"/>
      <c r="DG23" s="114">
        <f t="shared" si="18"/>
        <v>0.93086359175662414</v>
      </c>
      <c r="DH23" s="114">
        <f t="shared" si="18"/>
        <v>3.749591102387962E-2</v>
      </c>
      <c r="DI23" s="114">
        <f t="shared" si="19"/>
        <v>1.3730781812234218E-2</v>
      </c>
      <c r="DJ23" s="114">
        <f t="shared" si="19"/>
        <v>1.7909715407262022E-2</v>
      </c>
      <c r="DK23" s="135"/>
      <c r="DL23" s="114">
        <f t="shared" si="20"/>
        <v>0.94955114792351669</v>
      </c>
      <c r="DM23" s="114">
        <f t="shared" si="20"/>
        <v>3.6467423270882947E-2</v>
      </c>
      <c r="DN23" s="114">
        <f t="shared" si="21"/>
        <v>1.2467577548718047E-2</v>
      </c>
      <c r="DO23" s="114">
        <f t="shared" si="21"/>
        <v>1.5138512568822376E-3</v>
      </c>
      <c r="DP23" s="135"/>
      <c r="DQ23" s="114">
        <f t="shared" si="22"/>
        <v>0.40121734719756535</v>
      </c>
      <c r="DR23" s="114">
        <f t="shared" si="22"/>
        <v>3.9817397920365205E-2</v>
      </c>
      <c r="DS23" s="114">
        <f t="shared" si="23"/>
        <v>7.7098655845802694E-2</v>
      </c>
      <c r="DT23" s="114">
        <f t="shared" si="23"/>
        <v>0.48186659903626683</v>
      </c>
      <c r="DU23" s="135"/>
      <c r="DV23" s="114">
        <f t="shared" si="24"/>
        <v>0.94114027891714513</v>
      </c>
      <c r="DW23" s="114">
        <f t="shared" si="24"/>
        <v>4.4161881323489201E-2</v>
      </c>
      <c r="DX23" s="114">
        <f t="shared" si="25"/>
        <v>5.6056877221766473E-3</v>
      </c>
      <c r="DY23" s="114">
        <f t="shared" si="25"/>
        <v>9.0921520371889508E-3</v>
      </c>
      <c r="DZ23" s="135"/>
      <c r="EA23" s="114" t="str">
        <f t="shared" si="26"/>
        <v>-</v>
      </c>
      <c r="EB23" s="114" t="str">
        <f t="shared" si="26"/>
        <v>-</v>
      </c>
      <c r="EC23" s="114" t="str">
        <f t="shared" si="27"/>
        <v>-</v>
      </c>
      <c r="ED23" s="114" t="str">
        <f t="shared" si="27"/>
        <v>-</v>
      </c>
      <c r="EE23" s="135"/>
      <c r="EF23" s="115">
        <f t="shared" si="28"/>
        <v>0.11078794288736118</v>
      </c>
      <c r="EG23" s="115">
        <f t="shared" si="29"/>
        <v>0.50955414012738864</v>
      </c>
      <c r="EH23" s="115">
        <f t="shared" si="30"/>
        <v>0.11455108359133126</v>
      </c>
      <c r="EI23" s="115" t="str">
        <f t="shared" si="31"/>
        <v>-</v>
      </c>
      <c r="EJ23" s="115">
        <f t="shared" si="32"/>
        <v>0.12497273718647767</v>
      </c>
      <c r="EK23" s="135"/>
      <c r="EL23" s="116">
        <f t="shared" si="33"/>
        <v>5.271203415739814E-4</v>
      </c>
      <c r="EM23" s="116">
        <f t="shared" si="33"/>
        <v>8.0697928026172306E-3</v>
      </c>
      <c r="EN23" s="116">
        <f t="shared" si="34"/>
        <v>0.19178082191780824</v>
      </c>
      <c r="EO23" s="116" t="str">
        <f t="shared" si="34"/>
        <v>-</v>
      </c>
      <c r="EP23" s="116">
        <f t="shared" si="34"/>
        <v>3.4265619888779845E-3</v>
      </c>
      <c r="EQ23" s="109"/>
      <c r="ER23" s="116">
        <f t="shared" si="35"/>
        <v>4.0618621607075766E-5</v>
      </c>
      <c r="ES23" s="117">
        <f t="shared" si="35"/>
        <v>5.2882072977260709E-3</v>
      </c>
      <c r="ET23" s="117">
        <f t="shared" si="36"/>
        <v>0.18870843000773393</v>
      </c>
      <c r="EU23" s="117" t="str">
        <f t="shared" si="36"/>
        <v>-</v>
      </c>
      <c r="EV23" s="117">
        <f t="shared" si="36"/>
        <v>2.5841537378626729E-3</v>
      </c>
      <c r="EW23" s="135"/>
      <c r="EX23" s="116">
        <f t="shared" si="37"/>
        <v>1.2642225031605564E-3</v>
      </c>
      <c r="EY23" s="117">
        <f t="shared" si="37"/>
        <v>2.5477707006369432E-2</v>
      </c>
      <c r="EZ23" s="117">
        <f t="shared" si="38"/>
        <v>0.125</v>
      </c>
      <c r="FA23" s="117" t="str">
        <f t="shared" si="38"/>
        <v>-</v>
      </c>
      <c r="FB23" s="117">
        <f t="shared" si="38"/>
        <v>1.115901597768197E-2</v>
      </c>
      <c r="FC23" s="135"/>
      <c r="FD23" s="116">
        <f t="shared" si="39"/>
        <v>3.9224231858792768E-3</v>
      </c>
      <c r="FE23" s="117">
        <f t="shared" si="39"/>
        <v>2.0123839009287922E-2</v>
      </c>
      <c r="FF23" s="117">
        <f t="shared" si="40"/>
        <v>0.48780487804878042</v>
      </c>
      <c r="FG23" s="117" t="str">
        <f t="shared" si="40"/>
        <v>-</v>
      </c>
      <c r="FH23" s="117">
        <f t="shared" si="40"/>
        <v>7.3147388569866001E-3</v>
      </c>
      <c r="FI23" s="135"/>
      <c r="FJ23" s="116" t="str">
        <f t="shared" si="41"/>
        <v>-</v>
      </c>
      <c r="FK23" s="116" t="str">
        <f t="shared" si="41"/>
        <v>-</v>
      </c>
      <c r="FL23" s="116" t="str">
        <f t="shared" si="42"/>
        <v>-</v>
      </c>
      <c r="FM23" s="116" t="str">
        <f t="shared" si="42"/>
        <v>-</v>
      </c>
      <c r="FN23" s="116" t="str">
        <f t="shared" si="42"/>
        <v>-</v>
      </c>
      <c r="FT23" s="130"/>
      <c r="FV23" s="121" t="str">
        <f t="shared" si="43"/>
        <v>-</v>
      </c>
      <c r="FW23" s="121" t="str">
        <f t="shared" si="44"/>
        <v>-</v>
      </c>
      <c r="FX23" s="121" t="str">
        <f t="shared" si="45"/>
        <v>-</v>
      </c>
      <c r="FY23" s="121" t="str">
        <f t="shared" si="46"/>
        <v>-</v>
      </c>
      <c r="FZ23" s="121" t="str">
        <f t="shared" si="47"/>
        <v>-</v>
      </c>
      <c r="GH23" s="121" t="str">
        <f t="shared" si="49"/>
        <v>-</v>
      </c>
      <c r="GI23" s="121" t="str">
        <f t="shared" si="50"/>
        <v>-</v>
      </c>
      <c r="GJ23" s="121" t="str">
        <f t="shared" si="51"/>
        <v>-</v>
      </c>
      <c r="GK23" s="121" t="str">
        <f t="shared" si="52"/>
        <v>-</v>
      </c>
      <c r="GL23" s="121" t="str">
        <f t="shared" si="53"/>
        <v>-</v>
      </c>
      <c r="GN23" s="42">
        <f t="shared" si="54"/>
        <v>9.6999999999999993</v>
      </c>
      <c r="GO23" s="42">
        <f t="shared" si="55"/>
        <v>11841.1</v>
      </c>
    </row>
    <row r="24" spans="1:197" x14ac:dyDescent="0.25">
      <c r="A24" s="82" t="s">
        <v>247</v>
      </c>
    </row>
    <row r="25" spans="1:197" x14ac:dyDescent="0.25">
      <c r="A25" s="82" t="s">
        <v>248</v>
      </c>
    </row>
    <row r="26" spans="1:197" x14ac:dyDescent="0.25">
      <c r="A26" s="82" t="s">
        <v>251</v>
      </c>
    </row>
  </sheetData>
  <mergeCells count="3">
    <mergeCell ref="GN4:GN5"/>
    <mergeCell ref="GO4:GO5"/>
    <mergeCell ref="BS5:BZ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4Q19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jhkang</dc:creator>
  <cp:lastModifiedBy>jhkang</cp:lastModifiedBy>
  <dcterms:created xsi:type="dcterms:W3CDTF">2021-03-13T11:28:51Z</dcterms:created>
  <dcterms:modified xsi:type="dcterms:W3CDTF">2021-03-13T12:55:58Z</dcterms:modified>
</cp:coreProperties>
</file>